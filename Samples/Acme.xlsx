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ME_Snapshot" sheetId="1" state="visible" r:id="rId1"/>
    <sheet xmlns:r="http://schemas.openxmlformats.org/officeDocument/2006/relationships" name="ACME_Segm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&quot;$&quot;#,##0.00;(&quot;$&quot;#,##0.00)"/>
  </numFmts>
  <fonts count="4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theme="1"/>
      <sz val="10"/>
    </font>
    <font>
      <name val="Roboto"/>
      <color rgb="FF181C1F"/>
      <sz val="10"/>
    </font>
  </fonts>
  <fills count="3">
    <fill>
      <patternFill/>
    </fill>
    <fill>
      <patternFill patternType="lightGray"/>
    </fill>
    <fill>
      <patternFill patternType="solid">
        <fgColor rgb="FF3D5F90"/>
        <bgColor rgb="FF3D5F9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1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7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 defaultTableStyle="TableStyleMedium9" defaultPivotStyle="PivotStyleLight16">
    <tableStyle name="ACME_Snapshot-style" pivot="0" count="2">
      <tableStyleElement type="firstRowStripe" dxfId="1"/>
      <tableStyleElement type="secondRowStripe" dxfId="2"/>
    </tableStyle>
    <tableStyle name="ACME_Snapshot-style 2" pivot="0" count="2">
      <tableStyleElement type="firstRowStripe" dxfId="1"/>
      <tableStyleElement type="secondRowStripe" dxfId="2"/>
    </tableStyle>
    <tableStyle name="ACME_Segment_Data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B4:E17" headerRowCount="0">
  <tableColumns count="4">
    <tableColumn id="1" name="Column1"/>
    <tableColumn id="2" name="Column2"/>
    <tableColumn id="3" name="Column3"/>
    <tableColumn id="4" name="Column4"/>
  </tableColumns>
  <tableStyleInfo name="ACME_Snapsho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21:E28" headerRowCount="0">
  <tableColumns count="4">
    <tableColumn id="1" name="Column1"/>
    <tableColumn id="2" name="Column2"/>
    <tableColumn id="3" name="Column3"/>
    <tableColumn id="4" name="Column4"/>
  </tableColumns>
  <tableStyleInfo name="ACME_Snapsho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4:F2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ACME_Segment_Dat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0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15" min="2" max="2"/>
    <col width="16.38" customWidth="1" style="15" min="3" max="5"/>
  </cols>
  <sheetData>
    <row r="1"/>
    <row r="2">
      <c r="B2" s="8" t="inlineStr">
        <is>
          <t>ACME CORPORATION - MANAGEMENT DISCUSSION SNAPSHOT</t>
        </is>
      </c>
    </row>
    <row r="4">
      <c r="B4" s="8" t="inlineStr">
        <is>
          <t>Metric</t>
        </is>
      </c>
      <c r="C4" s="2" t="inlineStr">
        <is>
          <t>2025</t>
        </is>
      </c>
      <c r="D4" s="2" t="inlineStr">
        <is>
          <t>2024</t>
        </is>
      </c>
      <c r="E4" s="8" t="inlineStr">
        <is>
          <t>Yr.-to-Yr. Change</t>
        </is>
      </c>
    </row>
    <row r="5">
      <c r="B5" s="3" t="inlineStr">
        <is>
          <t>Revenue</t>
        </is>
      </c>
      <c r="C5" s="6" t="n">
        <v>1200000</v>
      </c>
      <c r="D5" s="6" t="n">
        <v>1000000</v>
      </c>
      <c r="E5" s="5">
        <f>C4/D4 - 1</f>
        <v/>
      </c>
    </row>
    <row r="6">
      <c r="B6" s="3" t="inlineStr">
        <is>
          <t>Cost of Goods Sold</t>
        </is>
      </c>
      <c r="C6" s="6" t="n">
        <v>450000</v>
      </c>
      <c r="D6" s="6" t="n">
        <v>400000</v>
      </c>
      <c r="E6" s="5">
        <f>C5/D5 - 1</f>
        <v/>
      </c>
    </row>
    <row r="7">
      <c r="B7" s="3" t="inlineStr">
        <is>
          <t>Gross Profit</t>
        </is>
      </c>
      <c r="C7" s="6">
        <f>C4-C5</f>
        <v/>
      </c>
      <c r="D7" s="6">
        <f>D4-D5</f>
        <v/>
      </c>
      <c r="E7" s="5">
        <f>C6/D6 - 1</f>
        <v/>
      </c>
    </row>
    <row r="8">
      <c r="B8" s="3" t="inlineStr">
        <is>
          <t>Gross Margin %</t>
        </is>
      </c>
      <c r="C8" s="5">
        <f>C6/C4</f>
        <v/>
      </c>
      <c r="D8" s="5">
        <f>D6/D4</f>
        <v/>
      </c>
      <c r="E8" s="5">
        <f>C7-D7</f>
        <v/>
      </c>
    </row>
    <row r="9">
      <c r="B9" s="3" t="inlineStr">
        <is>
          <t>Operating Expenses</t>
        </is>
      </c>
      <c r="C9" s="6" t="n">
        <v>320000</v>
      </c>
      <c r="D9" s="6" t="n">
        <v>300000</v>
      </c>
      <c r="E9" s="5">
        <f>C8/D8 - 1</f>
        <v/>
      </c>
    </row>
    <row r="10">
      <c r="B10" s="3" t="inlineStr">
        <is>
          <t>Operating Income</t>
        </is>
      </c>
      <c r="C10" s="6">
        <f>C6-C8</f>
        <v/>
      </c>
      <c r="D10" s="6">
        <f>D6-D8</f>
        <v/>
      </c>
      <c r="E10" s="5">
        <f>C9/D9 - 1</f>
        <v/>
      </c>
    </row>
    <row r="11">
      <c r="B11" s="3" t="inlineStr">
        <is>
          <t>Operating Margin %</t>
        </is>
      </c>
      <c r="C11" s="5">
        <f>C9/C4</f>
        <v/>
      </c>
      <c r="D11" s="5">
        <f>D9/D4</f>
        <v/>
      </c>
      <c r="E11" s="5">
        <f>C10-D10</f>
        <v/>
      </c>
    </row>
    <row r="12">
      <c r="B12" s="3" t="inlineStr">
        <is>
          <t>Interest Expense</t>
        </is>
      </c>
      <c r="C12" s="6" t="n">
        <v>45000</v>
      </c>
      <c r="D12" s="6" t="n">
        <v>50000</v>
      </c>
      <c r="E12" s="5">
        <f>C11/D11 - 1</f>
        <v/>
      </c>
    </row>
    <row r="13">
      <c r="B13" s="3" t="inlineStr">
        <is>
          <t>Pre-tax Income</t>
        </is>
      </c>
      <c r="C13" s="6">
        <f>C9-C11</f>
        <v/>
      </c>
      <c r="D13" s="6">
        <f>D9-D11</f>
        <v/>
      </c>
      <c r="E13" s="5">
        <f>C12/D12 - 1</f>
        <v/>
      </c>
    </row>
    <row r="14">
      <c r="B14" s="3" t="inlineStr">
        <is>
          <t>Taxes</t>
        </is>
      </c>
      <c r="C14" s="6" t="n">
        <v>80000</v>
      </c>
      <c r="D14" s="6" t="n">
        <v>60000</v>
      </c>
      <c r="E14" s="5">
        <f>C13/D13 - 1</f>
        <v/>
      </c>
    </row>
    <row r="15">
      <c r="B15" s="3" t="inlineStr">
        <is>
          <t>Net Income</t>
        </is>
      </c>
      <c r="C15" s="6">
        <f>C12-C13</f>
        <v/>
      </c>
      <c r="D15" s="6">
        <f>D12-D13</f>
        <v/>
      </c>
      <c r="E15" s="5">
        <f>C14/D14 - 1</f>
        <v/>
      </c>
    </row>
    <row r="16">
      <c r="B16" s="3" t="inlineStr">
        <is>
          <t>Net Margin %</t>
        </is>
      </c>
      <c r="C16" s="5">
        <f>C14/C4</f>
        <v/>
      </c>
      <c r="D16" s="5">
        <f>D14/D4</f>
        <v/>
      </c>
      <c r="E16" s="5">
        <f>C15-D15</f>
        <v/>
      </c>
    </row>
    <row r="17">
      <c r="B17" s="3" t="inlineStr">
        <is>
          <t>EPS (Diluted)</t>
        </is>
      </c>
      <c r="C17" s="7" t="n">
        <v>3.1</v>
      </c>
      <c r="D17" s="7" t="n">
        <v>2.5</v>
      </c>
      <c r="E17" s="5">
        <f>C16/D16 - 1</f>
        <v/>
      </c>
    </row>
    <row r="18">
      <c r="B18" s="3" t="inlineStr">
        <is>
          <t>Free Cash Flow</t>
        </is>
      </c>
      <c r="C18" s="6" t="n">
        <v>200000</v>
      </c>
      <c r="D18" s="6" t="n">
        <v>150000</v>
      </c>
      <c r="E18" s="5">
        <f>C17/D17 - 1</f>
        <v/>
      </c>
    </row>
    <row r="19"/>
    <row r="20">
      <c r="B20" s="8" t="inlineStr">
        <is>
          <t>OPERATING (NON-GAAP) EARNINGS</t>
        </is>
      </c>
    </row>
    <row r="22">
      <c r="B22" s="8" t="inlineStr">
        <is>
          <t>Metric</t>
        </is>
      </c>
      <c r="C22" s="8" t="n">
        <v>2025</v>
      </c>
      <c r="D22" s="8" t="n">
        <v>2024</v>
      </c>
      <c r="E22" s="8" t="inlineStr">
        <is>
          <t>Yr.-to-Yr. Change</t>
        </is>
      </c>
    </row>
    <row r="23">
      <c r="B23" s="3" t="inlineStr">
        <is>
          <t>Net Income (GAAP)</t>
        </is>
      </c>
      <c r="C23" s="6">
        <f>C14</f>
        <v/>
      </c>
      <c r="D23" s="6">
        <f>D14</f>
        <v/>
      </c>
      <c r="E23" s="5">
        <f>C21/D21 - 1</f>
        <v/>
      </c>
    </row>
    <row r="24">
      <c r="B24" s="3" t="inlineStr">
        <is>
          <t>Stock-Based Compensation</t>
        </is>
      </c>
      <c r="C24" s="6" t="n">
        <v>25000</v>
      </c>
      <c r="D24" s="6" t="n">
        <v>20000</v>
      </c>
      <c r="E24" s="5">
        <f>C22/D22 - 1</f>
        <v/>
      </c>
    </row>
    <row r="25">
      <c r="B25" s="3" t="inlineStr">
        <is>
          <t>Amortization of Intangibles</t>
        </is>
      </c>
      <c r="C25" s="6" t="n">
        <v>15000</v>
      </c>
      <c r="D25" s="6" t="n">
        <v>15000</v>
      </c>
      <c r="E25" s="5">
        <f>C23/D23 - 1</f>
        <v/>
      </c>
    </row>
    <row r="26">
      <c r="B26" s="3" t="inlineStr">
        <is>
          <t>Restructuring Charges</t>
        </is>
      </c>
      <c r="C26" s="6" t="n">
        <v>0</v>
      </c>
      <c r="D26" s="6" t="n">
        <v>5000</v>
      </c>
      <c r="E26" s="5">
        <f>-1</f>
        <v/>
      </c>
    </row>
    <row r="27">
      <c r="B27" s="3" t="inlineStr">
        <is>
          <t>Acquisition-Related Costs</t>
        </is>
      </c>
      <c r="C27" s="6" t="n">
        <v>0</v>
      </c>
      <c r="D27" s="6" t="n">
        <v>10000</v>
      </c>
      <c r="E27" s="5">
        <f>-1</f>
        <v/>
      </c>
    </row>
    <row r="28">
      <c r="B28" s="3" t="inlineStr">
        <is>
          <t>Tax Effect of Adjustments</t>
        </is>
      </c>
      <c r="C28" s="6" t="n">
        <v>-8000</v>
      </c>
      <c r="D28" s="6" t="n">
        <v>-10000</v>
      </c>
      <c r="E28" s="5">
        <f>C26/D26 - 1</f>
        <v/>
      </c>
    </row>
    <row r="29">
      <c r="B29" s="3" t="inlineStr">
        <is>
          <t>Non-GAAP Net Income</t>
        </is>
      </c>
      <c r="C29" s="6">
        <f>C21+C22+C23+C24+C25+C26</f>
        <v/>
      </c>
      <c r="D29" s="6">
        <f>D21+D22+D23+D24+D25+D26</f>
        <v/>
      </c>
      <c r="E29" s="5">
        <f>C27/D27 - 1</f>
        <v/>
      </c>
    </row>
    <row r="30">
      <c r="B30" s="3" t="inlineStr">
        <is>
          <t>Non-GAAP EPS (Diluted)</t>
        </is>
      </c>
      <c r="C30" s="7" t="n">
        <v>3.4</v>
      </c>
      <c r="D30" s="7" t="n">
        <v>2.8</v>
      </c>
      <c r="E30" s="5">
        <f>C28/D28 - 1</f>
        <v/>
      </c>
    </row>
  </sheetData>
  <mergeCells count="2">
    <mergeCell ref="B2:E2"/>
    <mergeCell ref="B19:E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2"/>
  <sheetViews>
    <sheetView workbookViewId="0">
      <selection activeCell="A1" sqref="A1"/>
    </sheetView>
  </sheetViews>
  <sheetFormatPr baseColWidth="8" defaultColWidth="12.63" defaultRowHeight="15.75" customHeight="1"/>
  <cols>
    <col width="51.75" customWidth="1" style="15" min="2" max="2"/>
    <col width="9" customWidth="1" style="15" min="3" max="4"/>
    <col width="27.63" customWidth="1" style="15" min="5" max="5"/>
    <col width="39.38" customWidth="1" style="15" min="6" max="6"/>
  </cols>
  <sheetData>
    <row r="1"/>
    <row r="2">
      <c r="B2" s="9" t="inlineStr">
        <is>
          <t>ACME CORPORATION - SEGMENT REVENUE &amp; GROSS MARGIN</t>
        </is>
      </c>
    </row>
    <row r="4">
      <c r="B4" s="9" t="inlineStr">
        <is>
          <t>Metric</t>
        </is>
      </c>
      <c r="C4" s="9" t="n">
        <v>2025</v>
      </c>
      <c r="D4" s="9" t="n">
        <v>2024</v>
      </c>
      <c r="E4" s="9" t="inlineStr">
        <is>
          <t>Yr.-to-Yr. Percent/Margin Change</t>
        </is>
      </c>
      <c r="F4" s="9" t="inlineStr">
        <is>
          <t>Yr.-to-Yr. Percent Change Adjusted for Currency</t>
        </is>
      </c>
    </row>
    <row r="5">
      <c r="B5" s="10" t="inlineStr">
        <is>
          <t>Revenue</t>
        </is>
      </c>
      <c r="C5" s="13" t="n"/>
      <c r="D5" s="13" t="n"/>
      <c r="E5" s="14" t="n"/>
      <c r="F5" s="14" t="n"/>
    </row>
    <row r="6">
      <c r="B6" s="10" t="inlineStr">
        <is>
          <t xml:space="preserve">  Software</t>
        </is>
      </c>
      <c r="C6" s="13" t="n">
        <v>30000</v>
      </c>
      <c r="D6" s="13" t="n">
        <v>28000</v>
      </c>
      <c r="E6" s="14">
        <f>IF(C5="","",C5/D5-1)</f>
        <v/>
      </c>
      <c r="F6" s="14" t="n">
        <v>0.08</v>
      </c>
    </row>
    <row r="7">
      <c r="B7" s="10" t="inlineStr">
        <is>
          <t xml:space="preserve">  Gross margin</t>
        </is>
      </c>
      <c r="C7" s="14" t="n">
        <v>0.84</v>
      </c>
      <c r="D7" s="14" t="n">
        <v>0.83</v>
      </c>
      <c r="E7" s="14">
        <f>IF(C6="","",C6-D6)</f>
        <v/>
      </c>
      <c r="F7" s="14" t="n"/>
    </row>
    <row r="8">
      <c r="B8" s="10" t="inlineStr">
        <is>
          <t xml:space="preserve">  Consulting</t>
        </is>
      </c>
      <c r="C8" s="13" t="n">
        <v>22000</v>
      </c>
      <c r="D8" s="13" t="n">
        <v>21000</v>
      </c>
      <c r="E8" s="14">
        <f>IF(C7="","",C7/D7-1)</f>
        <v/>
      </c>
      <c r="F8" s="14" t="n">
        <v>0.02</v>
      </c>
    </row>
    <row r="9">
      <c r="B9" s="10" t="inlineStr">
        <is>
          <t xml:space="preserve">  Gross margin</t>
        </is>
      </c>
      <c r="C9" s="14" t="n">
        <v>0.29</v>
      </c>
      <c r="D9" s="14" t="n">
        <v>0.28</v>
      </c>
      <c r="E9" s="14">
        <f>IF(C8="","",C8-D8)</f>
        <v/>
      </c>
      <c r="F9" s="14" t="n"/>
    </row>
    <row r="10">
      <c r="B10" s="10" t="inlineStr">
        <is>
          <t xml:space="preserve">  Infrastructure</t>
        </is>
      </c>
      <c r="C10" s="13" t="n">
        <v>16000</v>
      </c>
      <c r="D10" s="13" t="n">
        <v>15000</v>
      </c>
      <c r="E10" s="14">
        <f>IF(C9="","",C9/D9-1)</f>
        <v/>
      </c>
      <c r="F10" s="14" t="n">
        <v>0.11</v>
      </c>
    </row>
    <row r="11">
      <c r="B11" s="10" t="inlineStr">
        <is>
          <t xml:space="preserve">  Gross margin</t>
        </is>
      </c>
      <c r="C11" s="14" t="n">
        <v>0.59</v>
      </c>
      <c r="D11" s="14" t="n">
        <v>0.5600000000000001</v>
      </c>
      <c r="E11" s="14">
        <f>IF(C10="","",C10-D10)</f>
        <v/>
      </c>
      <c r="F11" s="14" t="n"/>
    </row>
    <row r="12">
      <c r="B12" s="10" t="inlineStr">
        <is>
          <t xml:space="preserve">  Financing</t>
        </is>
      </c>
      <c r="C12" s="13" t="n">
        <v>800</v>
      </c>
      <c r="D12" s="13" t="n">
        <v>750</v>
      </c>
      <c r="E12" s="14">
        <f>IF(C11="","",C11/D11-1)</f>
        <v/>
      </c>
      <c r="F12" s="14" t="n">
        <v>0.03</v>
      </c>
    </row>
    <row r="13">
      <c r="B13" s="10" t="inlineStr">
        <is>
          <t xml:space="preserve">  Gross margin</t>
        </is>
      </c>
      <c r="C13" s="14" t="n">
        <v>0.46</v>
      </c>
      <c r="D13" s="14" t="n">
        <v>0.48</v>
      </c>
      <c r="E13" s="14">
        <f>IF(C12="","",C12-D12)</f>
        <v/>
      </c>
      <c r="F13" s="14" t="n"/>
    </row>
    <row r="14">
      <c r="B14" s="10" t="inlineStr">
        <is>
          <t xml:space="preserve">  Other</t>
        </is>
      </c>
      <c r="C14" s="13" t="n">
        <v>100</v>
      </c>
      <c r="D14" s="13" t="n">
        <v>200</v>
      </c>
      <c r="E14" s="14">
        <f>IF(C13="","",C13/D13-1)</f>
        <v/>
      </c>
      <c r="F14" s="14" t="n">
        <v>-0.45</v>
      </c>
    </row>
    <row r="15">
      <c r="B15" s="10" t="inlineStr">
        <is>
          <t xml:space="preserve">  Gross margin</t>
        </is>
      </c>
      <c r="C15" s="14" t="n">
        <v>0.1</v>
      </c>
      <c r="D15" s="14" t="n">
        <v>0.15</v>
      </c>
      <c r="E15" s="14">
        <f>IF(C14="","",C14-D14)</f>
        <v/>
      </c>
      <c r="F15" s="14" t="n"/>
    </row>
    <row r="16">
      <c r="B16" s="10" t="inlineStr">
        <is>
          <t>Total revenue</t>
        </is>
      </c>
      <c r="C16" s="13">
        <f>SUM(C5,C7,C9,C11,C13)</f>
        <v/>
      </c>
      <c r="D16" s="13">
        <f>SUM(D5,D7,D9,D11,D13)</f>
        <v/>
      </c>
      <c r="E16" s="14">
        <f>C15/D15-1</f>
        <v/>
      </c>
      <c r="F16" s="14" t="n">
        <v>0.07000000000000001</v>
      </c>
    </row>
    <row r="17">
      <c r="B17" s="10" t="inlineStr">
        <is>
          <t>Total gross profit</t>
        </is>
      </c>
      <c r="C17" s="13">
        <f>C5*C6+C7*C8+C9*C10+C11*C12+C13*C14</f>
        <v/>
      </c>
      <c r="D17" s="13">
        <f>D5*D6+D7*D8+D9*D10+D11*D12+D13*D14</f>
        <v/>
      </c>
      <c r="E17" s="14">
        <f>C16/D16-1</f>
        <v/>
      </c>
      <c r="F17" s="14" t="n"/>
    </row>
    <row r="18">
      <c r="B18" s="10" t="inlineStr">
        <is>
          <t>Total gross margin</t>
        </is>
      </c>
      <c r="C18" s="14">
        <f>C16/C15</f>
        <v/>
      </c>
      <c r="D18" s="14">
        <f>D16/D15</f>
        <v/>
      </c>
      <c r="E18" s="14">
        <f>C17-D17</f>
        <v/>
      </c>
      <c r="F18" s="14" t="n"/>
    </row>
    <row r="19">
      <c r="B19" s="10" t="inlineStr">
        <is>
          <t>Non-operating adjustments</t>
        </is>
      </c>
      <c r="C19" s="13" t="n"/>
      <c r="D19" s="13" t="n"/>
      <c r="E19" s="14" t="n"/>
      <c r="F19" s="14" t="n"/>
    </row>
    <row r="20">
      <c r="B20" s="10" t="inlineStr">
        <is>
          <t xml:space="preserve">  Amortization of acquired intangible assets</t>
        </is>
      </c>
      <c r="C20" s="13" t="n">
        <v>900</v>
      </c>
      <c r="D20" s="13" t="n">
        <v>800</v>
      </c>
      <c r="E20" s="14">
        <f>C19/D19-1</f>
        <v/>
      </c>
      <c r="F20" s="14" t="n"/>
    </row>
    <row r="21">
      <c r="B21" s="10" t="inlineStr">
        <is>
          <t>Operating (non-GAAP) gross profit</t>
        </is>
      </c>
      <c r="C21" s="13">
        <f>C16+C19</f>
        <v/>
      </c>
      <c r="D21" s="13">
        <f>D16+D19</f>
        <v/>
      </c>
      <c r="E21" s="14">
        <f>C20/D20-1</f>
        <v/>
      </c>
      <c r="F21" s="14" t="n"/>
    </row>
    <row r="22">
      <c r="B22" s="10" t="inlineStr">
        <is>
          <t>Operating (non-GAAP) gross margin</t>
        </is>
      </c>
      <c r="C22" s="14">
        <f>C20/C15</f>
        <v/>
      </c>
      <c r="D22" s="14">
        <f>D20/D15</f>
        <v/>
      </c>
      <c r="E22" s="14">
        <f>C21-D21</f>
        <v/>
      </c>
      <c r="F22" s="14" t="n"/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2026-07-06T09:15:49Z</dcterms:created>
  <dcterms:modified xmlns:dcterms="http://purl.org/dc/terms/" xmlns:xsi="http://www.w3.org/2001/XMLSchema-instance" xsi:type="dcterms:W3CDTF">2026-07-06T09:15:49Z</dcterms:modified>
</cp:coreProperties>
</file>