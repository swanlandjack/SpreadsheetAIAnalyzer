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come Statement" sheetId="2" r:id="rId6"/>
    <sheet state="visible" name="Balance Sheet" sheetId="3" r:id="rId7"/>
    <sheet state="visible" name="Cash Flow" sheetId="4" r:id="rId8"/>
    <sheet state="visible" name="Detailed Balance Sheet" sheetId="5" r:id="rId9"/>
    <sheet state="visible" name="Portfolio" sheetId="6" r:id="rId10"/>
  </sheets>
  <definedNames/>
  <calcPr/>
</workbook>
</file>

<file path=xl/sharedStrings.xml><?xml version="1.0" encoding="utf-8"?>
<sst xmlns="http://schemas.openxmlformats.org/spreadsheetml/2006/main" count="114" uniqueCount="105">
  <si>
    <t>Personal Wealth Dashboard</t>
  </si>
  <si>
    <t>Total Net Worth</t>
  </si>
  <si>
    <t>Total Investments</t>
  </si>
  <si>
    <t>Total P&amp;L</t>
  </si>
  <si>
    <t>Asset</t>
  </si>
  <si>
    <t>Purchase Date</t>
  </si>
  <si>
    <t>Invested Amount</t>
  </si>
  <si>
    <t>Current Value</t>
  </si>
  <si>
    <t>P&amp;L</t>
  </si>
  <si>
    <t>Date</t>
  </si>
  <si>
    <t>Description</t>
  </si>
  <si>
    <t>Category</t>
  </si>
  <si>
    <t>Amount</t>
  </si>
  <si>
    <t>Apple Inc. (AAPL)</t>
  </si>
  <si>
    <t>Whole Foods Market</t>
  </si>
  <si>
    <t>Groceries</t>
  </si>
  <si>
    <t>Vanguard S&amp;P 500 ETF (VOO)</t>
  </si>
  <si>
    <t>Uber Rides</t>
  </si>
  <si>
    <t>Transport</t>
  </si>
  <si>
    <t>Tesla Inc. (TSLA)</t>
  </si>
  <si>
    <t>Netflix Subscription</t>
  </si>
  <si>
    <t>Entertainment</t>
  </si>
  <si>
    <t>US Treasury Bond</t>
  </si>
  <si>
    <t>Salary Deposit</t>
  </si>
  <si>
    <t>Income</t>
  </si>
  <si>
    <t>Bitcoin (BTC)</t>
  </si>
  <si>
    <t>Con Edison</t>
  </si>
  <si>
    <t>Utilities</t>
  </si>
  <si>
    <t>Starbucks</t>
  </si>
  <si>
    <t>Dining</t>
  </si>
  <si>
    <t>Rent Payment</t>
  </si>
  <si>
    <t>Housing</t>
  </si>
  <si>
    <t>Amazon</t>
  </si>
  <si>
    <t>Shopping</t>
  </si>
  <si>
    <t>Line Item</t>
  </si>
  <si>
    <t>Revenue</t>
  </si>
  <si>
    <t>COGS</t>
  </si>
  <si>
    <t>Gross Profit</t>
  </si>
  <si>
    <t>Operating Expenses</t>
  </si>
  <si>
    <t>Taxes</t>
  </si>
  <si>
    <t>Net Income</t>
  </si>
  <si>
    <t>Cash &amp; Equivalents</t>
  </si>
  <si>
    <t>Property &amp; Equipment</t>
  </si>
  <si>
    <t>Total Assets</t>
  </si>
  <si>
    <t>Accounts Payable</t>
  </si>
  <si>
    <t>Long-Term Debt</t>
  </si>
  <si>
    <t>Total Liabilities</t>
  </si>
  <si>
    <t>Total Equity</t>
  </si>
  <si>
    <t>Operating Activities</t>
  </si>
  <si>
    <t>Investing Activities</t>
  </si>
  <si>
    <t>Financing Activities</t>
  </si>
  <si>
    <t>Net Change in Cash</t>
  </si>
  <si>
    <t>Assets</t>
  </si>
  <si>
    <t>Cash &amp; Cash Equivalents</t>
  </si>
  <si>
    <t>Marketable Securities</t>
  </si>
  <si>
    <t>Accounts Receivable</t>
  </si>
  <si>
    <t>Inventory</t>
  </si>
  <si>
    <t>Prepaid Expenses</t>
  </si>
  <si>
    <t>Other Current Assets</t>
  </si>
  <si>
    <t>Total Current Assets</t>
  </si>
  <si>
    <t>Property, Plant &amp; Equipment</t>
  </si>
  <si>
    <t>Intangible Assets</t>
  </si>
  <si>
    <t>Goodwill</t>
  </si>
  <si>
    <t>Long-Term Investments</t>
  </si>
  <si>
    <t>Other Non-Current Assets</t>
  </si>
  <si>
    <t>Total Non-Current Assets</t>
  </si>
  <si>
    <t>Liabilities</t>
  </si>
  <si>
    <t>Short-Term Debt</t>
  </si>
  <si>
    <t>Accrued Liabilities</t>
  </si>
  <si>
    <t>Deferred Revenue</t>
  </si>
  <si>
    <t>Other Current Liabilities</t>
  </si>
  <si>
    <t>Total Current Liabilities</t>
  </si>
  <si>
    <t>Deferred Tax Liabilities</t>
  </si>
  <si>
    <t>Pension Liabilities</t>
  </si>
  <si>
    <t>Other Non-Current Liabilities</t>
  </si>
  <si>
    <t>Total Non-Current Liabilities</t>
  </si>
  <si>
    <t>Shareholders' Equity</t>
  </si>
  <si>
    <t>Common Stock</t>
  </si>
  <si>
    <t>Additional Paid-In Capital</t>
  </si>
  <si>
    <t>Retained Earnings</t>
  </si>
  <si>
    <t>Treasury Stock</t>
  </si>
  <si>
    <t>Total Shareholders' Equity</t>
  </si>
  <si>
    <t>Total Liabilities &amp; Shareholders' Equity</t>
  </si>
  <si>
    <t>Balance Check</t>
  </si>
  <si>
    <t>Investment Portfolio</t>
  </si>
  <si>
    <t>Total Value</t>
  </si>
  <si>
    <t>Total Invested</t>
  </si>
  <si>
    <t>Return %</t>
  </si>
  <si>
    <t>Ticker</t>
  </si>
  <si>
    <t>Asset Name</t>
  </si>
  <si>
    <t>Units</t>
  </si>
  <si>
    <t>Avg Cost</t>
  </si>
  <si>
    <t>Current Price</t>
  </si>
  <si>
    <t>Total Cost</t>
  </si>
  <si>
    <t>P&amp;L ($)</t>
  </si>
  <si>
    <t>P&amp;L (%)</t>
  </si>
  <si>
    <t>Allocation</t>
  </si>
  <si>
    <t>AAPL</t>
  </si>
  <si>
    <t>Apple Inc.</t>
  </si>
  <si>
    <t>MSFT</t>
  </si>
  <si>
    <t>Microsoft</t>
  </si>
  <si>
    <t>TSLA</t>
  </si>
  <si>
    <t>Tesla Inc.</t>
  </si>
  <si>
    <t>GOOGL</t>
  </si>
  <si>
    <t>Alphabet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</si>
</sst>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$#,##0"/>
    <numFmt numFmtId="165" formatCode="+$#,##0"/>
    <numFmt numFmtId="166" formatCode="yyyy-mm-dd"/>
    <numFmt numFmtId="167" formatCode="$#,##0.00"/>
    <numFmt numFmtId="168" formatCode="&quot;$&quot;#,##0.00;(&quot;$&quot;#,##0.00)"/>
    <numFmt numFmtId="169" formatCode="_(* #,##0_);_(* (#,##0);_(* &quot;-&quot;??_);_(@_)"/>
    <numFmt numFmtId="170" formatCode="$#,##0.00;($#,##0.00)"/>
  </numFmts>
  <fonts count="14">
    <font>
      <sz val="10.0"/>
      <color rgb="FF000000"/>
      <name val="Arial"/>
      <scheme val="minor"/>
    </font>
    <font>
      <b/>
      <sz val="18.0"/>
      <color rgb="FF555892"/>
      <name val="Arial"/>
      <scheme val="minor"/>
    </font>
    <font>
      <b/>
      <color rgb="FF777680"/>
      <name val="Arial"/>
      <scheme val="minor"/>
    </font>
    <font>
      <b/>
      <sz val="14.0"/>
      <color rgb="FF1B1B20"/>
      <name val="Arial"/>
      <scheme val="minor"/>
    </font>
    <font>
      <b/>
      <sz val="14.0"/>
      <color rgb="FF3EC08A"/>
      <name val="Arial"/>
      <scheme val="minor"/>
    </font>
    <font>
      <b/>
      <sz val="11.0"/>
      <color rgb="FFFFFFFF"/>
      <name val="Montserrat"/>
    </font>
    <font>
      <sz val="10.0"/>
      <color rgb="FF1B1B20"/>
      <name val="Roboto"/>
    </font>
    <font>
      <sz val="10.0"/>
      <color theme="1"/>
      <name val="Roboto"/>
    </font>
    <font>
      <b/>
      <sz val="10.0"/>
      <color theme="1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b/>
      <sz val="14.0"/>
      <color theme="1"/>
      <name val="Montserrat"/>
    </font>
    <font>
      <sz val="10.0"/>
      <color rgb="FF181C1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55892"/>
        <bgColor rgb="FF555892"/>
      </patternFill>
    </fill>
    <fill>
      <patternFill patternType="solid">
        <fgColor rgb="FF003366"/>
        <bgColor rgb="FF003366"/>
      </patternFill>
    </fill>
    <fill>
      <patternFill patternType="solid">
        <fgColor rgb="FF3E5F90"/>
        <bgColor rgb="FF3E5F90"/>
      </patternFill>
    </fill>
    <fill>
      <patternFill patternType="solid">
        <fgColor rgb="FFF8F8FF"/>
        <bgColor rgb="FFF8F8FF"/>
      </patternFill>
    </fill>
  </fills>
  <borders count="3">
    <border/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165" xfId="0" applyFont="1" applyNumberFormat="1"/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6" numFmtId="167" xfId="0" applyAlignment="1" applyFont="1" applyNumberFormat="1">
      <alignment readingOrder="0"/>
    </xf>
    <xf borderId="0" fillId="3" fontId="5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8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8" numFmtId="168" xfId="0" applyAlignment="1" applyFont="1" applyNumberFormat="1">
      <alignment horizontal="right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169" xfId="0" applyAlignment="1" applyFont="1" applyNumberFormat="1">
      <alignment readingOrder="0"/>
    </xf>
    <xf borderId="1" fillId="0" fontId="9" numFmtId="0" xfId="0" applyAlignment="1" applyBorder="1" applyFont="1">
      <alignment readingOrder="0"/>
    </xf>
    <xf borderId="1" fillId="0" fontId="9" numFmtId="169" xfId="0" applyBorder="1" applyFont="1" applyNumberFormat="1"/>
    <xf borderId="2" fillId="0" fontId="9" numFmtId="0" xfId="0" applyAlignment="1" applyBorder="1" applyFont="1">
      <alignment readingOrder="0"/>
    </xf>
    <xf borderId="2" fillId="0" fontId="9" numFmtId="169" xfId="0" applyBorder="1" applyFont="1" applyNumberFormat="1"/>
    <xf borderId="0" fillId="0" fontId="9" numFmtId="169" xfId="0" applyFont="1" applyNumberFormat="1"/>
    <xf borderId="0" fillId="0" fontId="10" numFmtId="169" xfId="0" applyFont="1" applyNumberFormat="1"/>
    <xf borderId="0" fillId="0" fontId="12" numFmtId="0" xfId="0" applyAlignment="1" applyFont="1">
      <alignment readingOrder="0"/>
    </xf>
    <xf borderId="0" fillId="4" fontId="5" numFmtId="0" xfId="0" applyAlignment="1" applyFill="1" applyFont="1">
      <alignment horizontal="right" readingOrder="0"/>
    </xf>
    <xf borderId="0" fillId="5" fontId="13" numFmtId="170" xfId="0" applyAlignment="1" applyFill="1" applyFont="1" applyNumberFormat="1">
      <alignment horizontal="right"/>
    </xf>
    <xf borderId="0" fillId="5" fontId="13" numFmtId="10" xfId="0" applyAlignment="1" applyFont="1" applyNumberFormat="1">
      <alignment horizontal="right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170" xfId="0" applyAlignment="1" applyFont="1" applyNumberFormat="1">
      <alignment readingOrder="0"/>
    </xf>
    <xf borderId="0" fillId="0" fontId="13" numFmtId="170" xfId="0" applyFont="1" applyNumberFormat="1"/>
    <xf borderId="0" fillId="0" fontId="13" numFmtId="10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AF8FF"/>
          <bgColor rgb="FFFA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>
        <color rgb="FF3EC08A"/>
      </font>
      <fill>
        <patternFill patternType="none"/>
      </fill>
      <border/>
    </dxf>
    <dxf>
      <font>
        <color rgb="FFFF859A"/>
      </font>
      <fill>
        <patternFill patternType="none"/>
      </fill>
      <border/>
    </dxf>
  </dxfs>
  <tableStyles count="3">
    <tableStyle count="2" pivot="0" name="Dashboard-style">
      <tableStyleElement dxfId="1" type="firstRowStripe"/>
      <tableStyleElement dxfId="2" type="secondRowStripe"/>
    </tableStyle>
    <tableStyle count="2" pivot="0" name="Dashboard-style 2">
      <tableStyleElement dxfId="1" type="firstRowStripe"/>
      <tableStyleElement dxfId="2" type="secondRowStripe"/>
    </tableStyle>
    <tableStyle count="2" pivot="0" name="Portfolio-style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Portfolio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Dashboard!$B$9:$B$14</c:f>
            </c:strRef>
          </c:cat>
          <c:val>
            <c:numRef>
              <c:f>Dashboard!$E$9:$E$14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Asset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Portfolio!$C$8:$C$12</c:f>
            </c:strRef>
          </c:cat>
          <c:val>
            <c:numRef>
              <c:f>Portfolio!$K$8:$K$12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4</xdr:row>
      <xdr:rowOff>0</xdr:rowOff>
    </xdr:from>
    <xdr:ext cx="4286250" cy="2857500"/>
    <xdr:graphicFrame>
      <xdr:nvGraphicFramePr>
        <xdr:cNvPr id="1" name="Chart 1" title="Portfolio Alloc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3</xdr:row>
      <xdr:rowOff>0</xdr:rowOff>
    </xdr:from>
    <xdr:ext cx="3810000" cy="2857500"/>
    <xdr:graphicFrame>
      <xdr:nvGraphicFramePr>
        <xdr:cNvPr id="2" name="Chart 2" title="Asset Alloc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:F1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H10:K1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B9:K12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ortfo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7.25"/>
    <col customWidth="1" min="3" max="3" width="12.63"/>
    <col customWidth="1" min="4" max="4" width="14.63"/>
    <col customWidth="1" min="5" max="6" width="11.88"/>
    <col customWidth="1" min="8" max="8" width="9.13"/>
    <col customWidth="1" min="9" max="9" width="15.75"/>
    <col customWidth="1" min="10" max="10" width="11.13"/>
    <col customWidth="1" min="11" max="11" width="8.5"/>
  </cols>
  <sheetData>
    <row r="1" ht="6.75" customHeight="1"/>
    <row r="2">
      <c r="B2" s="1" t="s">
        <v>0</v>
      </c>
    </row>
    <row r="5">
      <c r="B5" s="2" t="s">
        <v>1</v>
      </c>
      <c r="D5" s="2" t="s">
        <v>2</v>
      </c>
      <c r="F5" s="2" t="s">
        <v>3</v>
      </c>
    </row>
    <row r="6">
      <c r="B6" s="3">
        <v>1250000.0</v>
      </c>
      <c r="D6" s="3">
        <v>850000.0</v>
      </c>
      <c r="F6" s="4">
        <v>125000.0</v>
      </c>
    </row>
    <row r="9"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H9" s="5" t="s">
        <v>9</v>
      </c>
      <c r="I9" s="5" t="s">
        <v>10</v>
      </c>
      <c r="J9" s="5" t="s">
        <v>11</v>
      </c>
      <c r="K9" s="5" t="s">
        <v>12</v>
      </c>
    </row>
    <row r="10">
      <c r="B10" s="6" t="s">
        <v>13</v>
      </c>
      <c r="C10" s="7">
        <v>44328.0</v>
      </c>
      <c r="D10" s="8">
        <v>15000.0</v>
      </c>
      <c r="E10" s="8">
        <v>22000.0</v>
      </c>
      <c r="F10" s="9">
        <f t="shared" ref="F10:F14" si="1">E10-D10</f>
        <v>7000</v>
      </c>
      <c r="H10" s="7">
        <v>45422.0</v>
      </c>
      <c r="I10" s="6" t="s">
        <v>14</v>
      </c>
      <c r="J10" s="6" t="s">
        <v>15</v>
      </c>
      <c r="K10" s="10">
        <v>-150.25</v>
      </c>
    </row>
    <row r="11">
      <c r="B11" s="6" t="s">
        <v>16</v>
      </c>
      <c r="C11" s="7">
        <v>43845.0</v>
      </c>
      <c r="D11" s="8">
        <v>50000.0</v>
      </c>
      <c r="E11" s="8">
        <v>75000.0</v>
      </c>
      <c r="F11" s="9">
        <f t="shared" si="1"/>
        <v>25000</v>
      </c>
      <c r="H11" s="7">
        <v>45421.0</v>
      </c>
      <c r="I11" s="6" t="s">
        <v>17</v>
      </c>
      <c r="J11" s="6" t="s">
        <v>18</v>
      </c>
      <c r="K11" s="10">
        <v>-25.5</v>
      </c>
    </row>
    <row r="12">
      <c r="B12" s="6" t="s">
        <v>19</v>
      </c>
      <c r="C12" s="7">
        <v>44870.0</v>
      </c>
      <c r="D12" s="8">
        <v>10000.0</v>
      </c>
      <c r="E12" s="8">
        <v>8500.0</v>
      </c>
      <c r="F12" s="9">
        <f t="shared" si="1"/>
        <v>-1500</v>
      </c>
      <c r="H12" s="7">
        <v>45420.0</v>
      </c>
      <c r="I12" s="6" t="s">
        <v>20</v>
      </c>
      <c r="J12" s="6" t="s">
        <v>21</v>
      </c>
      <c r="K12" s="10">
        <v>-15.99</v>
      </c>
    </row>
    <row r="13">
      <c r="B13" s="6" t="s">
        <v>22</v>
      </c>
      <c r="C13" s="7">
        <v>44977.0</v>
      </c>
      <c r="D13" s="8">
        <v>25000.0</v>
      </c>
      <c r="E13" s="8">
        <v>26000.0</v>
      </c>
      <c r="F13" s="9">
        <f t="shared" si="1"/>
        <v>1000</v>
      </c>
      <c r="H13" s="7">
        <v>45417.0</v>
      </c>
      <c r="I13" s="6" t="s">
        <v>23</v>
      </c>
      <c r="J13" s="6" t="s">
        <v>24</v>
      </c>
      <c r="K13" s="10">
        <v>4500.0</v>
      </c>
    </row>
    <row r="14">
      <c r="B14" s="6" t="s">
        <v>25</v>
      </c>
      <c r="C14" s="7">
        <v>44440.0</v>
      </c>
      <c r="D14" s="8">
        <v>5000.0</v>
      </c>
      <c r="E14" s="8">
        <v>12000.0</v>
      </c>
      <c r="F14" s="9">
        <f t="shared" si="1"/>
        <v>7000</v>
      </c>
      <c r="H14" s="7">
        <v>45416.0</v>
      </c>
      <c r="I14" s="6" t="s">
        <v>26</v>
      </c>
      <c r="J14" s="6" t="s">
        <v>27</v>
      </c>
      <c r="K14" s="10">
        <v>-85.0</v>
      </c>
    </row>
    <row r="15">
      <c r="H15" s="7">
        <v>45414.0</v>
      </c>
      <c r="I15" s="6" t="s">
        <v>28</v>
      </c>
      <c r="J15" s="6" t="s">
        <v>29</v>
      </c>
      <c r="K15" s="10">
        <v>-5.75</v>
      </c>
    </row>
    <row r="16">
      <c r="H16" s="7">
        <v>45413.0</v>
      </c>
      <c r="I16" s="6" t="s">
        <v>30</v>
      </c>
      <c r="J16" s="6" t="s">
        <v>31</v>
      </c>
      <c r="K16" s="10">
        <v>-2500.0</v>
      </c>
    </row>
    <row r="17">
      <c r="H17" s="7">
        <v>45410.0</v>
      </c>
      <c r="I17" s="6" t="s">
        <v>32</v>
      </c>
      <c r="J17" s="6" t="s">
        <v>33</v>
      </c>
      <c r="K17" s="10">
        <v>-45.2</v>
      </c>
    </row>
  </sheetData>
  <mergeCells count="6">
    <mergeCell ref="B5:C5"/>
    <mergeCell ref="D5:E5"/>
    <mergeCell ref="F5:G5"/>
    <mergeCell ref="B6:C6"/>
    <mergeCell ref="D6:E6"/>
    <mergeCell ref="F6:G6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3" width="10.13"/>
    <col customWidth="1" min="4" max="4" width="10.5"/>
  </cols>
  <sheetData>
    <row r="1">
      <c r="A1" s="11" t="s">
        <v>34</v>
      </c>
      <c r="B1" s="11">
        <v>2021.0</v>
      </c>
      <c r="C1" s="11">
        <v>2022.0</v>
      </c>
      <c r="D1" s="11">
        <v>2023.0</v>
      </c>
    </row>
    <row r="2">
      <c r="A2" s="12" t="s">
        <v>35</v>
      </c>
      <c r="B2" s="13">
        <v>100000.0</v>
      </c>
      <c r="C2" s="13">
        <v>120000.0</v>
      </c>
      <c r="D2" s="13">
        <v>150000.0</v>
      </c>
    </row>
    <row r="3">
      <c r="A3" s="12" t="s">
        <v>36</v>
      </c>
      <c r="B3" s="13">
        <v>-40000.0</v>
      </c>
      <c r="C3" s="13">
        <v>-45000.0</v>
      </c>
      <c r="D3" s="13">
        <v>-50000.0</v>
      </c>
    </row>
    <row r="4">
      <c r="A4" s="14" t="s">
        <v>37</v>
      </c>
      <c r="B4" s="15">
        <f t="shared" ref="B4:D4" si="1">SUM(B2:B3)</f>
        <v>60000</v>
      </c>
      <c r="C4" s="15">
        <f t="shared" si="1"/>
        <v>75000</v>
      </c>
      <c r="D4" s="15">
        <f t="shared" si="1"/>
        <v>100000</v>
      </c>
    </row>
    <row r="5">
      <c r="A5" s="12" t="s">
        <v>38</v>
      </c>
      <c r="B5" s="13">
        <v>-30000.0</v>
      </c>
      <c r="C5" s="13">
        <v>-35000.0</v>
      </c>
      <c r="D5" s="13">
        <v>-40000.0</v>
      </c>
    </row>
    <row r="6">
      <c r="A6" s="12" t="s">
        <v>39</v>
      </c>
      <c r="B6" s="13">
        <v>-5000.0</v>
      </c>
      <c r="C6" s="13">
        <v>-6000.0</v>
      </c>
      <c r="D6" s="13">
        <v>-8000.0</v>
      </c>
    </row>
    <row r="7">
      <c r="A7" s="14" t="s">
        <v>40</v>
      </c>
      <c r="B7" s="15">
        <f t="shared" ref="B7:D7" si="2">SUM(B4:B6)</f>
        <v>25000</v>
      </c>
      <c r="C7" s="15">
        <f t="shared" si="2"/>
        <v>34000</v>
      </c>
      <c r="D7" s="15">
        <f t="shared" si="2"/>
        <v>52000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4" width="10.5"/>
  </cols>
  <sheetData>
    <row r="1">
      <c r="A1" s="11" t="s">
        <v>34</v>
      </c>
      <c r="B1" s="11">
        <v>2021.0</v>
      </c>
      <c r="C1" s="11">
        <v>2022.0</v>
      </c>
      <c r="D1" s="11">
        <v>2023.0</v>
      </c>
    </row>
    <row r="2">
      <c r="A2" s="12" t="s">
        <v>41</v>
      </c>
      <c r="B2" s="13">
        <v>50000.0</v>
      </c>
      <c r="C2" s="13">
        <v>60000.0</v>
      </c>
      <c r="D2" s="13">
        <v>80000.0</v>
      </c>
    </row>
    <row r="3">
      <c r="A3" s="12" t="s">
        <v>42</v>
      </c>
      <c r="B3" s="13">
        <v>100000.0</v>
      </c>
      <c r="C3" s="13">
        <v>120000.0</v>
      </c>
      <c r="D3" s="13">
        <v>140000.0</v>
      </c>
    </row>
    <row r="4">
      <c r="A4" s="14" t="s">
        <v>43</v>
      </c>
      <c r="B4" s="15">
        <f t="shared" ref="B4:D4" si="1">SUM(B2:B3)</f>
        <v>150000</v>
      </c>
      <c r="C4" s="15">
        <f t="shared" si="1"/>
        <v>180000</v>
      </c>
      <c r="D4" s="15">
        <f t="shared" si="1"/>
        <v>220000</v>
      </c>
    </row>
    <row r="5">
      <c r="A5" s="12" t="s">
        <v>44</v>
      </c>
      <c r="B5" s="13">
        <v>20000.0</v>
      </c>
      <c r="C5" s="13">
        <v>25000.0</v>
      </c>
      <c r="D5" s="13">
        <v>30000.0</v>
      </c>
    </row>
    <row r="6">
      <c r="A6" s="12" t="s">
        <v>45</v>
      </c>
      <c r="B6" s="13">
        <v>30000.0</v>
      </c>
      <c r="C6" s="13">
        <v>35000.0</v>
      </c>
      <c r="D6" s="13">
        <v>40000.0</v>
      </c>
    </row>
    <row r="7">
      <c r="A7" s="14" t="s">
        <v>46</v>
      </c>
      <c r="B7" s="15">
        <f t="shared" ref="B7:D7" si="2">SUM(B5:B6)</f>
        <v>50000</v>
      </c>
      <c r="C7" s="15">
        <f t="shared" si="2"/>
        <v>60000</v>
      </c>
      <c r="D7" s="15">
        <f t="shared" si="2"/>
        <v>70000</v>
      </c>
    </row>
    <row r="8">
      <c r="A8" s="14" t="s">
        <v>47</v>
      </c>
      <c r="B8" s="15">
        <f t="shared" ref="B8:D8" si="3">B4-B7</f>
        <v>100000</v>
      </c>
      <c r="C8" s="15">
        <f t="shared" si="3"/>
        <v>120000</v>
      </c>
      <c r="D8" s="15">
        <f t="shared" si="3"/>
        <v>150000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4" width="10.13"/>
  </cols>
  <sheetData>
    <row r="1">
      <c r="A1" s="11" t="s">
        <v>34</v>
      </c>
      <c r="B1" s="11">
        <v>2021.0</v>
      </c>
      <c r="C1" s="11">
        <v>2022.0</v>
      </c>
      <c r="D1" s="11">
        <v>2023.0</v>
      </c>
    </row>
    <row r="2">
      <c r="A2" s="12" t="s">
        <v>48</v>
      </c>
      <c r="B2" s="13">
        <v>30000.0</v>
      </c>
      <c r="C2" s="13">
        <v>35000.0</v>
      </c>
      <c r="D2" s="13">
        <v>40000.0</v>
      </c>
    </row>
    <row r="3">
      <c r="A3" s="12" t="s">
        <v>49</v>
      </c>
      <c r="B3" s="13">
        <v>-10000.0</v>
      </c>
      <c r="C3" s="13">
        <v>-15000.0</v>
      </c>
      <c r="D3" s="13">
        <v>-20000.0</v>
      </c>
    </row>
    <row r="4">
      <c r="A4" s="12" t="s">
        <v>50</v>
      </c>
      <c r="B4" s="13">
        <v>-5000.0</v>
      </c>
      <c r="C4" s="13">
        <v>-5000.0</v>
      </c>
      <c r="D4" s="13">
        <v>-5000.0</v>
      </c>
    </row>
    <row r="5">
      <c r="A5" s="14" t="s">
        <v>51</v>
      </c>
      <c r="B5" s="15">
        <f t="shared" ref="B5:D5" si="1">SUM(B2:B4)</f>
        <v>15000</v>
      </c>
      <c r="C5" s="15">
        <f t="shared" si="1"/>
        <v>15000</v>
      </c>
      <c r="D5" s="15">
        <f t="shared" si="1"/>
        <v>15000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4" width="12.63"/>
  </cols>
  <sheetData>
    <row r="1">
      <c r="A1" s="16" t="s">
        <v>34</v>
      </c>
      <c r="B1" s="16">
        <v>2021.0</v>
      </c>
      <c r="C1" s="16">
        <v>2022.0</v>
      </c>
      <c r="D1" s="16">
        <v>2023.0</v>
      </c>
    </row>
    <row r="2">
      <c r="A2" s="16" t="s">
        <v>52</v>
      </c>
      <c r="B2" s="17"/>
      <c r="C2" s="17"/>
      <c r="D2" s="17"/>
    </row>
    <row r="3">
      <c r="A3" s="18" t="s">
        <v>53</v>
      </c>
      <c r="B3" s="19">
        <v>50000.0</v>
      </c>
      <c r="C3" s="19">
        <v>60000.0</v>
      </c>
      <c r="D3" s="19">
        <v>80000.0</v>
      </c>
    </row>
    <row r="4">
      <c r="A4" s="18" t="s">
        <v>54</v>
      </c>
      <c r="B4" s="19">
        <v>10000.0</v>
      </c>
      <c r="C4" s="19">
        <v>12000.0</v>
      </c>
      <c r="D4" s="19">
        <v>15000.0</v>
      </c>
    </row>
    <row r="5">
      <c r="A5" s="18" t="s">
        <v>55</v>
      </c>
      <c r="B5" s="19">
        <v>15000.0</v>
      </c>
      <c r="C5" s="19">
        <v>18000.0</v>
      </c>
      <c r="D5" s="19">
        <v>20000.0</v>
      </c>
    </row>
    <row r="6">
      <c r="A6" s="18" t="s">
        <v>56</v>
      </c>
      <c r="B6" s="19">
        <v>20000.0</v>
      </c>
      <c r="C6" s="19">
        <v>25000.0</v>
      </c>
      <c r="D6" s="19">
        <v>30000.0</v>
      </c>
    </row>
    <row r="7">
      <c r="A7" s="18" t="s">
        <v>57</v>
      </c>
      <c r="B7" s="19">
        <v>5000.0</v>
      </c>
      <c r="C7" s="19">
        <v>5000.0</v>
      </c>
      <c r="D7" s="19">
        <v>5000.0</v>
      </c>
    </row>
    <row r="8">
      <c r="A8" s="18" t="s">
        <v>58</v>
      </c>
      <c r="B8" s="19">
        <v>2000.0</v>
      </c>
      <c r="C8" s="19">
        <v>2000.0</v>
      </c>
      <c r="D8" s="19">
        <v>2000.0</v>
      </c>
    </row>
    <row r="9">
      <c r="A9" s="20" t="s">
        <v>59</v>
      </c>
      <c r="B9" s="21">
        <f t="shared" ref="B9:D9" si="1">SUM(B3:B8)</f>
        <v>102000</v>
      </c>
      <c r="C9" s="21">
        <f t="shared" si="1"/>
        <v>122000</v>
      </c>
      <c r="D9" s="21">
        <f t="shared" si="1"/>
        <v>152000</v>
      </c>
    </row>
    <row r="10">
      <c r="A10" s="18" t="s">
        <v>60</v>
      </c>
      <c r="B10" s="19">
        <v>100000.0</v>
      </c>
      <c r="C10" s="19">
        <v>120000.0</v>
      </c>
      <c r="D10" s="19">
        <v>140000.0</v>
      </c>
    </row>
    <row r="11">
      <c r="A11" s="18" t="s">
        <v>61</v>
      </c>
      <c r="B11" s="19">
        <v>20000.0</v>
      </c>
      <c r="C11" s="19">
        <v>20000.0</v>
      </c>
      <c r="D11" s="19">
        <v>20000.0</v>
      </c>
    </row>
    <row r="12">
      <c r="A12" s="18" t="s">
        <v>62</v>
      </c>
      <c r="B12" s="19">
        <v>30000.0</v>
      </c>
      <c r="C12" s="19">
        <v>30000.0</v>
      </c>
      <c r="D12" s="19">
        <v>30000.0</v>
      </c>
    </row>
    <row r="13">
      <c r="A13" s="18" t="s">
        <v>63</v>
      </c>
      <c r="B13" s="19">
        <v>10000.0</v>
      </c>
      <c r="C13" s="19">
        <v>15000.0</v>
      </c>
      <c r="D13" s="19">
        <v>20000.0</v>
      </c>
    </row>
    <row r="14">
      <c r="A14" s="18" t="s">
        <v>64</v>
      </c>
      <c r="B14" s="19">
        <v>5000.0</v>
      </c>
      <c r="C14" s="19">
        <v>5000.0</v>
      </c>
      <c r="D14" s="19">
        <v>5000.0</v>
      </c>
    </row>
    <row r="15">
      <c r="A15" s="20" t="s">
        <v>65</v>
      </c>
      <c r="B15" s="21">
        <f t="shared" ref="B15:D15" si="2">SUM(B10:B14)</f>
        <v>165000</v>
      </c>
      <c r="C15" s="21">
        <f t="shared" si="2"/>
        <v>190000</v>
      </c>
      <c r="D15" s="21">
        <f t="shared" si="2"/>
        <v>215000</v>
      </c>
    </row>
    <row r="16">
      <c r="A16" s="22" t="s">
        <v>43</v>
      </c>
      <c r="B16" s="23">
        <f t="shared" ref="B16:D16" si="3">B9+B15</f>
        <v>267000</v>
      </c>
      <c r="C16" s="23">
        <f t="shared" si="3"/>
        <v>312000</v>
      </c>
      <c r="D16" s="23">
        <f t="shared" si="3"/>
        <v>367000</v>
      </c>
    </row>
    <row r="17">
      <c r="A17" s="16" t="s">
        <v>66</v>
      </c>
      <c r="B17" s="24"/>
      <c r="C17" s="24"/>
      <c r="D17" s="24"/>
    </row>
    <row r="18">
      <c r="A18" s="18" t="s">
        <v>44</v>
      </c>
      <c r="B18" s="19">
        <v>20000.0</v>
      </c>
      <c r="C18" s="19">
        <v>25000.0</v>
      </c>
      <c r="D18" s="19">
        <v>30000.0</v>
      </c>
    </row>
    <row r="19">
      <c r="A19" s="18" t="s">
        <v>67</v>
      </c>
      <c r="B19" s="19">
        <v>10000.0</v>
      </c>
      <c r="C19" s="19">
        <v>10000.0</v>
      </c>
      <c r="D19" s="19">
        <v>15000.0</v>
      </c>
    </row>
    <row r="20">
      <c r="A20" s="18" t="s">
        <v>68</v>
      </c>
      <c r="B20" s="19">
        <v>5000.0</v>
      </c>
      <c r="C20" s="19">
        <v>6000.0</v>
      </c>
      <c r="D20" s="19">
        <v>7000.0</v>
      </c>
    </row>
    <row r="21">
      <c r="A21" s="18" t="s">
        <v>69</v>
      </c>
      <c r="B21" s="19">
        <v>2000.0</v>
      </c>
      <c r="C21" s="19">
        <v>3000.0</v>
      </c>
      <c r="D21" s="19">
        <v>4000.0</v>
      </c>
    </row>
    <row r="22">
      <c r="A22" s="18" t="s">
        <v>70</v>
      </c>
      <c r="B22" s="19">
        <v>1000.0</v>
      </c>
      <c r="C22" s="19">
        <v>1000.0</v>
      </c>
      <c r="D22" s="19">
        <v>1000.0</v>
      </c>
    </row>
    <row r="23">
      <c r="A23" s="20" t="s">
        <v>71</v>
      </c>
      <c r="B23" s="21">
        <f t="shared" ref="B23:D23" si="4">SUM(B18:B22)</f>
        <v>38000</v>
      </c>
      <c r="C23" s="21">
        <f t="shared" si="4"/>
        <v>45000</v>
      </c>
      <c r="D23" s="21">
        <f t="shared" si="4"/>
        <v>57000</v>
      </c>
    </row>
    <row r="24">
      <c r="A24" s="18" t="s">
        <v>45</v>
      </c>
      <c r="B24" s="19">
        <v>30000.0</v>
      </c>
      <c r="C24" s="19">
        <v>35000.0</v>
      </c>
      <c r="D24" s="19">
        <v>40000.0</v>
      </c>
    </row>
    <row r="25">
      <c r="A25" s="18" t="s">
        <v>72</v>
      </c>
      <c r="B25" s="19">
        <v>5000.0</v>
      </c>
      <c r="C25" s="19">
        <v>5000.0</v>
      </c>
      <c r="D25" s="19">
        <v>5000.0</v>
      </c>
    </row>
    <row r="26">
      <c r="A26" s="18" t="s">
        <v>73</v>
      </c>
      <c r="B26" s="19">
        <v>2000.0</v>
      </c>
      <c r="C26" s="19">
        <v>2000.0</v>
      </c>
      <c r="D26" s="19">
        <v>2000.0</v>
      </c>
    </row>
    <row r="27">
      <c r="A27" s="18" t="s">
        <v>74</v>
      </c>
      <c r="B27" s="19">
        <v>1000.0</v>
      </c>
      <c r="C27" s="19">
        <v>1000.0</v>
      </c>
      <c r="D27" s="19">
        <v>1000.0</v>
      </c>
    </row>
    <row r="28">
      <c r="A28" s="20" t="s">
        <v>75</v>
      </c>
      <c r="B28" s="21">
        <f t="shared" ref="B28:D28" si="5">SUM(B24:B27)</f>
        <v>38000</v>
      </c>
      <c r="C28" s="21">
        <f t="shared" si="5"/>
        <v>43000</v>
      </c>
      <c r="D28" s="21">
        <f t="shared" si="5"/>
        <v>48000</v>
      </c>
    </row>
    <row r="29">
      <c r="A29" s="20" t="s">
        <v>46</v>
      </c>
      <c r="B29" s="21">
        <f t="shared" ref="B29:D29" si="6">B23+B28</f>
        <v>76000</v>
      </c>
      <c r="C29" s="21">
        <f t="shared" si="6"/>
        <v>88000</v>
      </c>
      <c r="D29" s="21">
        <f t="shared" si="6"/>
        <v>105000</v>
      </c>
    </row>
    <row r="30">
      <c r="A30" s="16" t="s">
        <v>76</v>
      </c>
      <c r="B30" s="24"/>
      <c r="C30" s="24"/>
      <c r="D30" s="24"/>
    </row>
    <row r="31">
      <c r="A31" s="18" t="s">
        <v>77</v>
      </c>
      <c r="B31" s="19">
        <v>10000.0</v>
      </c>
      <c r="C31" s="19">
        <v>10000.0</v>
      </c>
      <c r="D31" s="19">
        <v>10000.0</v>
      </c>
    </row>
    <row r="32">
      <c r="A32" s="18" t="s">
        <v>78</v>
      </c>
      <c r="B32" s="19">
        <v>40000.0</v>
      </c>
      <c r="C32" s="19">
        <v>40000.0</v>
      </c>
      <c r="D32" s="19">
        <v>40000.0</v>
      </c>
    </row>
    <row r="33">
      <c r="A33" s="18" t="s">
        <v>79</v>
      </c>
      <c r="B33" s="19">
        <v>146000.0</v>
      </c>
      <c r="C33" s="19">
        <v>179000.0</v>
      </c>
      <c r="D33" s="19">
        <v>217000.0</v>
      </c>
    </row>
    <row r="34">
      <c r="A34" s="18" t="s">
        <v>80</v>
      </c>
      <c r="B34" s="19">
        <v>-5000.0</v>
      </c>
      <c r="C34" s="19">
        <v>-5000.0</v>
      </c>
      <c r="D34" s="19">
        <v>-5000.0</v>
      </c>
    </row>
    <row r="35">
      <c r="A35" s="20" t="s">
        <v>81</v>
      </c>
      <c r="B35" s="21">
        <f t="shared" ref="B35:D35" si="7">SUM(B31:B34)</f>
        <v>191000</v>
      </c>
      <c r="C35" s="21">
        <f t="shared" si="7"/>
        <v>224000</v>
      </c>
      <c r="D35" s="21">
        <f t="shared" si="7"/>
        <v>262000</v>
      </c>
    </row>
    <row r="36">
      <c r="A36" s="22" t="s">
        <v>82</v>
      </c>
      <c r="B36" s="23">
        <f t="shared" ref="B36:D36" si="8">B29+B35</f>
        <v>267000</v>
      </c>
      <c r="C36" s="23">
        <f t="shared" si="8"/>
        <v>312000</v>
      </c>
      <c r="D36" s="23">
        <f t="shared" si="8"/>
        <v>367000</v>
      </c>
    </row>
    <row r="37">
      <c r="B37" s="25"/>
      <c r="C37" s="25"/>
      <c r="D37" s="25"/>
    </row>
    <row r="38">
      <c r="A38" s="16" t="s">
        <v>83</v>
      </c>
      <c r="B38" s="24">
        <f t="shared" ref="B38:D38" si="9">B16-B36</f>
        <v>0</v>
      </c>
      <c r="C38" s="24">
        <f t="shared" si="9"/>
        <v>0</v>
      </c>
      <c r="D38" s="24">
        <f t="shared" si="9"/>
        <v>0</v>
      </c>
    </row>
  </sheetData>
  <conditionalFormatting sqref="B38:D38">
    <cfRule type="cellIs" dxfId="3" priority="1" stopIfTrue="1" operator="not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2.0"/>
    <col customWidth="1" min="3" max="3" width="12.25"/>
    <col customWidth="1" min="4" max="4" width="8.63"/>
    <col customWidth="1" min="5" max="5" width="8.13"/>
    <col customWidth="1" min="6" max="6" width="11.63"/>
    <col customWidth="1" min="7" max="7" width="9.0"/>
    <col customWidth="1" min="8" max="8" width="11.88"/>
    <col customWidth="1" min="9" max="9" width="8.13"/>
    <col customWidth="1" min="10" max="10" width="7.25"/>
    <col customWidth="1" min="11" max="11" width="9.13"/>
  </cols>
  <sheetData>
    <row r="2">
      <c r="B2" s="26" t="s">
        <v>84</v>
      </c>
    </row>
    <row r="4">
      <c r="B4" s="27" t="s">
        <v>85</v>
      </c>
      <c r="C4" s="27" t="s">
        <v>86</v>
      </c>
      <c r="D4" s="27" t="s">
        <v>3</v>
      </c>
      <c r="E4" s="27" t="s">
        <v>87</v>
      </c>
    </row>
    <row r="5">
      <c r="B5" s="28">
        <f>SUM(H9:H100)</f>
        <v>26850</v>
      </c>
      <c r="C5" s="28">
        <f>SUM(G9:G100)</f>
        <v>23000</v>
      </c>
      <c r="D5" s="28">
        <f>SUM(I9:I100)</f>
        <v>3850</v>
      </c>
      <c r="E5" s="29">
        <f>IFERROR(D5/C5, 0)</f>
        <v>0.1673913043</v>
      </c>
    </row>
    <row r="8">
      <c r="B8" s="27" t="s">
        <v>88</v>
      </c>
      <c r="C8" s="27" t="s">
        <v>89</v>
      </c>
      <c r="D8" s="27" t="s">
        <v>90</v>
      </c>
      <c r="E8" s="27" t="s">
        <v>91</v>
      </c>
      <c r="F8" s="27" t="s">
        <v>92</v>
      </c>
      <c r="G8" s="27" t="s">
        <v>93</v>
      </c>
      <c r="H8" s="27" t="s">
        <v>7</v>
      </c>
      <c r="I8" s="27" t="s">
        <v>94</v>
      </c>
      <c r="J8" s="27" t="s">
        <v>95</v>
      </c>
      <c r="K8" s="27" t="s">
        <v>96</v>
      </c>
    </row>
    <row r="9">
      <c r="B9" s="30" t="s">
        <v>97</v>
      </c>
      <c r="C9" s="30" t="s">
        <v>98</v>
      </c>
      <c r="D9" s="31">
        <v>50.0</v>
      </c>
      <c r="E9" s="32">
        <v>150.0</v>
      </c>
      <c r="F9" s="32">
        <v>175.0</v>
      </c>
      <c r="G9" s="33">
        <f t="shared" ref="G9:G12" si="1">D9*E9</f>
        <v>7500</v>
      </c>
      <c r="H9" s="33">
        <f t="shared" ref="H9:H12" si="2">D9*F9</f>
        <v>8750</v>
      </c>
      <c r="I9" s="33">
        <f t="shared" ref="I9:I12" si="3">H9-G9</f>
        <v>1250</v>
      </c>
      <c r="J9" s="34">
        <f t="shared" ref="J9:J12" si="4">IFERROR(I9/G9, 0)</f>
        <v>0.1666666667</v>
      </c>
      <c r="K9" s="34">
        <f t="shared" ref="K9:K12" si="5">IFERROR(H9/$B$5, 0)</f>
        <v>0.3258845438</v>
      </c>
    </row>
    <row r="10">
      <c r="B10" s="30" t="s">
        <v>99</v>
      </c>
      <c r="C10" s="30" t="s">
        <v>100</v>
      </c>
      <c r="D10" s="31">
        <v>30.0</v>
      </c>
      <c r="E10" s="32">
        <v>250.0</v>
      </c>
      <c r="F10" s="32">
        <v>310.0</v>
      </c>
      <c r="G10" s="33">
        <f t="shared" si="1"/>
        <v>7500</v>
      </c>
      <c r="H10" s="33">
        <f t="shared" si="2"/>
        <v>9300</v>
      </c>
      <c r="I10" s="33">
        <f t="shared" si="3"/>
        <v>1800</v>
      </c>
      <c r="J10" s="34">
        <f t="shared" si="4"/>
        <v>0.24</v>
      </c>
      <c r="K10" s="34">
        <f t="shared" si="5"/>
        <v>0.3463687151</v>
      </c>
    </row>
    <row r="11">
      <c r="B11" s="30" t="s">
        <v>101</v>
      </c>
      <c r="C11" s="30" t="s">
        <v>102</v>
      </c>
      <c r="D11" s="31">
        <v>20.0</v>
      </c>
      <c r="E11" s="32">
        <v>200.0</v>
      </c>
      <c r="F11" s="32">
        <v>180.0</v>
      </c>
      <c r="G11" s="33">
        <f t="shared" si="1"/>
        <v>4000</v>
      </c>
      <c r="H11" s="33">
        <f t="shared" si="2"/>
        <v>3600</v>
      </c>
      <c r="I11" s="33">
        <f t="shared" si="3"/>
        <v>-400</v>
      </c>
      <c r="J11" s="34">
        <f t="shared" si="4"/>
        <v>-0.1</v>
      </c>
      <c r="K11" s="34">
        <f t="shared" si="5"/>
        <v>0.1340782123</v>
      </c>
    </row>
    <row r="12">
      <c r="B12" s="30" t="s">
        <v>103</v>
      </c>
      <c r="C12" s="30" t="s">
        <v>104</v>
      </c>
      <c r="D12" s="31">
        <v>40.0</v>
      </c>
      <c r="E12" s="32">
        <v>100.0</v>
      </c>
      <c r="F12" s="32">
        <v>130.0</v>
      </c>
      <c r="G12" s="33">
        <f t="shared" si="1"/>
        <v>4000</v>
      </c>
      <c r="H12" s="33">
        <f t="shared" si="2"/>
        <v>5200</v>
      </c>
      <c r="I12" s="33">
        <f t="shared" si="3"/>
        <v>1200</v>
      </c>
      <c r="J12" s="34">
        <f t="shared" si="4"/>
        <v>0.3</v>
      </c>
      <c r="K12" s="34">
        <f t="shared" si="5"/>
        <v>0.1936685289</v>
      </c>
    </row>
  </sheetData>
  <conditionalFormatting sqref="D5:E5 I9:J12">
    <cfRule type="cellIs" dxfId="5" priority="1" stopIfTrue="1" operator="greaterThan">
      <formula>0</formula>
    </cfRule>
  </conditionalFormatting>
  <conditionalFormatting sqref="D5:E5 I9:J12">
    <cfRule type="cellIs" dxfId="6" priority="2" stopIfTrue="1" operator="lessThan">
      <formula>0</formula>
    </cfRule>
  </conditionalFormatting>
  <drawing r:id="rId1"/>
  <tableParts count="1">
    <tablePart r:id="rId3"/>
  </tableParts>
</worksheet>
</file>