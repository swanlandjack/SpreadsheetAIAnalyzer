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Projection" sheetId="3" state="visible" r:id="rId3"/>
    <sheet xmlns:r="http://schemas.openxmlformats.org/officeDocument/2006/relationships" name="Payroll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1F497D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3" borderId="0" applyAlignment="1" pivotButton="0" quotePrefix="0" xfId="0">
      <alignment horizontal="left" vertical="center"/>
    </xf>
    <xf numFmtId="164" fontId="5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4" fillId="0" borderId="1" pivotButton="0" quotePrefix="0" xfId="0"/>
    <xf numFmtId="0" fontId="6" fillId="4" borderId="2" pivotButton="0" quotePrefix="0" xfId="0"/>
    <xf numFmtId="0" fontId="5" fillId="3" borderId="0" pivotButton="0" quotePrefix="0" xfId="0"/>
    <xf numFmtId="0" fontId="4" fillId="0" borderId="2" pivotButton="0" quotePrefix="0" xfId="0"/>
    <xf numFmtId="165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6" customWidth="1" min="2" max="2"/>
    <col width="16" customWidth="1" min="3" max="3"/>
    <col width="22" customWidth="1" min="4" max="4"/>
  </cols>
  <sheetData>
    <row r="1">
      <c r="A1" s="1" t="inlineStr">
        <is>
          <t>CONSOLIDATED STATEMENTS OF INCOME (Fortune 500 Case Study)</t>
        </is>
      </c>
    </row>
    <row r="2">
      <c r="A2" s="2" t="inlineStr">
        <is>
          <t>Amounts in USD Millions, except per share data</t>
        </is>
      </c>
    </row>
    <row r="3"/>
    <row r="4">
      <c r="A4" s="3" t="inlineStr">
        <is>
          <t>Line Item</t>
        </is>
      </c>
      <c r="B4" s="4" t="inlineStr">
        <is>
          <t>FY 2024</t>
        </is>
      </c>
      <c r="C4" s="4" t="inlineStr">
        <is>
          <t>FY 2025</t>
        </is>
      </c>
      <c r="D4" s="4" t="inlineStr">
        <is>
          <t>FY 2026 (Projected)</t>
        </is>
      </c>
    </row>
    <row r="5">
      <c r="A5" s="5" t="inlineStr">
        <is>
          <t>Revenue</t>
        </is>
      </c>
      <c r="B5" s="6" t="inlineStr"/>
      <c r="C5" s="6" t="inlineStr"/>
      <c r="D5" s="6" t="inlineStr"/>
    </row>
    <row r="6">
      <c r="A6" s="7" t="inlineStr">
        <is>
          <t xml:space="preserve">  Product Revenue</t>
        </is>
      </c>
      <c r="B6" s="8" t="n">
        <v>32500</v>
      </c>
      <c r="C6" s="8" t="n">
        <v>35400</v>
      </c>
      <c r="D6" s="8" t="n">
        <v>38200</v>
      </c>
    </row>
    <row r="7">
      <c r="A7" s="9" t="inlineStr">
        <is>
          <t xml:space="preserve">  Service &amp; Subscription Revenue</t>
        </is>
      </c>
      <c r="B7" s="10" t="n">
        <v>12100</v>
      </c>
      <c r="C7" s="10" t="n">
        <v>14200</v>
      </c>
      <c r="D7" s="10" t="n">
        <v>16500</v>
      </c>
    </row>
    <row r="8">
      <c r="A8" s="11" t="inlineStr">
        <is>
          <t>Total Net Revenues</t>
        </is>
      </c>
      <c r="B8" s="12">
        <f>SUM(B6:B7)</f>
        <v/>
      </c>
      <c r="C8" s="12">
        <f>SUM(C6:C7)</f>
        <v/>
      </c>
      <c r="D8" s="12">
        <f>SUM(D6:D7)</f>
        <v/>
      </c>
    </row>
    <row r="9">
      <c r="A9" s="5" t="inlineStr">
        <is>
          <t>Cost of Revenues</t>
        </is>
      </c>
      <c r="B9" s="6" t="inlineStr"/>
      <c r="C9" s="6" t="inlineStr"/>
      <c r="D9" s="6" t="inlineStr"/>
    </row>
    <row r="10">
      <c r="A10" s="7" t="inlineStr">
        <is>
          <t xml:space="preserve">  Cost of Product Revenue</t>
        </is>
      </c>
      <c r="B10" s="8" t="n">
        <v>18500</v>
      </c>
      <c r="C10" s="8" t="n">
        <v>19800</v>
      </c>
      <c r="D10" s="8" t="n">
        <v>21100</v>
      </c>
    </row>
    <row r="11">
      <c r="A11" s="9" t="inlineStr">
        <is>
          <t xml:space="preserve">  Cost of Service &amp; Subscription Revenue</t>
        </is>
      </c>
      <c r="B11" s="10" t="n">
        <v>4200</v>
      </c>
      <c r="C11" s="10" t="n">
        <v>4800</v>
      </c>
      <c r="D11" s="10" t="n">
        <v>5400</v>
      </c>
    </row>
    <row r="12">
      <c r="A12" s="11" t="inlineStr">
        <is>
          <t>Total Cost of Revenues</t>
        </is>
      </c>
      <c r="B12" s="12">
        <f>SUM(B11:B12)</f>
        <v/>
      </c>
      <c r="C12" s="12">
        <f>SUM(C11:C12)</f>
        <v/>
      </c>
      <c r="D12" s="12">
        <f>SUM(D11:D12)</f>
        <v/>
      </c>
    </row>
    <row r="13">
      <c r="A13" s="13" t="inlineStr">
        <is>
          <t>Gross Profit</t>
        </is>
      </c>
      <c r="B13" s="14">
        <f>B8-B13</f>
        <v/>
      </c>
      <c r="C13" s="14">
        <f>C8-C13</f>
        <v/>
      </c>
      <c r="D13" s="14">
        <f>D8-D13</f>
        <v/>
      </c>
    </row>
    <row r="14">
      <c r="A14" s="5" t="inlineStr">
        <is>
          <t>Operating Expenses</t>
        </is>
      </c>
      <c r="B14" s="6" t="inlineStr"/>
      <c r="C14" s="6" t="inlineStr"/>
      <c r="D14" s="6" t="inlineStr"/>
    </row>
    <row r="15">
      <c r="A15" s="9" t="inlineStr">
        <is>
          <t xml:space="preserve">  Research and Development (R&amp;D)</t>
        </is>
      </c>
      <c r="B15" s="10" t="n">
        <v>5200</v>
      </c>
      <c r="C15" s="10" t="n">
        <v>5800</v>
      </c>
      <c r="D15" s="10" t="n">
        <v>6400</v>
      </c>
    </row>
    <row r="16">
      <c r="A16" s="7" t="inlineStr">
        <is>
          <t xml:space="preserve">  Selling, General &amp; Administrative (SG&amp;A)</t>
        </is>
      </c>
      <c r="B16" s="8" t="n">
        <v>8400</v>
      </c>
      <c r="C16" s="8" t="n">
        <v>8900</v>
      </c>
      <c r="D16" s="8" t="n">
        <v>9300</v>
      </c>
    </row>
    <row r="17">
      <c r="A17" s="9" t="inlineStr">
        <is>
          <t xml:space="preserve">  Amortization of Intangible Assets</t>
        </is>
      </c>
      <c r="B17" s="10" t="n">
        <v>450</v>
      </c>
      <c r="C17" s="10" t="n">
        <v>420</v>
      </c>
      <c r="D17" s="10" t="n">
        <v>400</v>
      </c>
    </row>
    <row r="18">
      <c r="A18" s="7" t="inlineStr">
        <is>
          <t xml:space="preserve">  Restructuring and Realignment Charges</t>
        </is>
      </c>
      <c r="B18" s="8" t="n">
        <v>250</v>
      </c>
      <c r="C18" s="8" t="n">
        <v>0</v>
      </c>
      <c r="D18" s="8" t="n">
        <v>150</v>
      </c>
    </row>
    <row r="19">
      <c r="A19" s="11" t="inlineStr">
        <is>
          <t>Total Operating Expenses</t>
        </is>
      </c>
      <c r="B19" s="12">
        <f>SUM(B16:B19)</f>
        <v/>
      </c>
      <c r="C19" s="12">
        <f>SUM(C16:C19)</f>
        <v/>
      </c>
      <c r="D19" s="12">
        <f>SUM(D16:D19)</f>
        <v/>
      </c>
    </row>
    <row r="20">
      <c r="A20" s="13" t="inlineStr">
        <is>
          <t>Operating Income (EBIT)</t>
        </is>
      </c>
      <c r="B20" s="14">
        <f>B14-B20</f>
        <v/>
      </c>
      <c r="C20" s="14">
        <f>C14-C20</f>
        <v/>
      </c>
      <c r="D20" s="14">
        <f>D14-D20</f>
        <v/>
      </c>
    </row>
    <row r="21">
      <c r="A21" s="5" t="inlineStr">
        <is>
          <t>Non-Operating Income / (Expense)</t>
        </is>
      </c>
      <c r="B21" s="6" t="inlineStr"/>
      <c r="C21" s="6" t="inlineStr"/>
      <c r="D21" s="6" t="inlineStr"/>
    </row>
    <row r="22">
      <c r="A22" s="7" t="inlineStr">
        <is>
          <t xml:space="preserve">  Interest Income</t>
        </is>
      </c>
      <c r="B22" s="8" t="n">
        <v>180</v>
      </c>
      <c r="C22" s="8" t="n">
        <v>210</v>
      </c>
      <c r="D22" s="8" t="n">
        <v>240</v>
      </c>
    </row>
    <row r="23">
      <c r="A23" s="9" t="inlineStr">
        <is>
          <t xml:space="preserve">  Interest Expense</t>
        </is>
      </c>
      <c r="B23" s="10" t="n">
        <v>-450</v>
      </c>
      <c r="C23" s="10" t="n">
        <v>-420</v>
      </c>
      <c r="D23" s="10" t="n">
        <v>-380</v>
      </c>
    </row>
    <row r="24">
      <c r="A24" s="7" t="inlineStr">
        <is>
          <t xml:space="preserve">  Other Net Non-Operating Gains/(Losses)</t>
        </is>
      </c>
      <c r="B24" s="8" t="n">
        <v>85</v>
      </c>
      <c r="C24" s="8" t="n">
        <v>-30</v>
      </c>
      <c r="D24" s="8" t="n">
        <v>45</v>
      </c>
    </row>
    <row r="25">
      <c r="A25" s="11" t="inlineStr">
        <is>
          <t>Total Non-Operating Income / (Expense), Net</t>
        </is>
      </c>
      <c r="B25" s="12">
        <f>SUM(B23:B25)</f>
        <v/>
      </c>
      <c r="C25" s="12">
        <f>SUM(C23:C25)</f>
        <v/>
      </c>
      <c r="D25" s="12">
        <f>SUM(D23:D25)</f>
        <v/>
      </c>
    </row>
    <row r="26">
      <c r="A26" s="13" t="inlineStr">
        <is>
          <t>Income Before Income Taxes</t>
        </is>
      </c>
      <c r="B26" s="14">
        <f>B21+B26</f>
        <v/>
      </c>
      <c r="C26" s="14">
        <f>C21+C26</f>
        <v/>
      </c>
      <c r="D26" s="14">
        <f>D21+D26</f>
        <v/>
      </c>
    </row>
    <row r="27">
      <c r="A27" s="9" t="inlineStr">
        <is>
          <t xml:space="preserve">  Provision for Income Taxes</t>
        </is>
      </c>
      <c r="B27" s="10" t="n">
        <v>2150</v>
      </c>
      <c r="C27" s="10" t="n">
        <v>2350</v>
      </c>
      <c r="D27" s="10" t="n">
        <v>2600</v>
      </c>
    </row>
    <row r="28">
      <c r="A28" s="13" t="inlineStr">
        <is>
          <t>Net Income</t>
        </is>
      </c>
      <c r="B28" s="14">
        <f>B27-B28</f>
        <v/>
      </c>
      <c r="C28" s="14">
        <f>C27-C28</f>
        <v/>
      </c>
      <c r="D28" s="14">
        <f>D27-D28</f>
        <v/>
      </c>
    </row>
    <row r="29">
      <c r="A29" s="5" t="inlineStr">
        <is>
          <t>Earnings Per Share (EPS)</t>
        </is>
      </c>
      <c r="B29" s="6" t="inlineStr"/>
      <c r="C29" s="6" t="inlineStr"/>
      <c r="D29" s="6" t="inlineStr"/>
    </row>
    <row r="30">
      <c r="A30" s="7" t="inlineStr">
        <is>
          <t xml:space="preserve">  Basic EPS</t>
        </is>
      </c>
      <c r="B30" s="15">
        <f>B29/2500</f>
        <v/>
      </c>
      <c r="C30" s="15">
        <f>C29/2500</f>
        <v/>
      </c>
      <c r="D30" s="15">
        <f>D29/2500</f>
        <v/>
      </c>
    </row>
    <row r="31">
      <c r="A31" s="9" t="inlineStr">
        <is>
          <t xml:space="preserve">  Diluted EPS</t>
        </is>
      </c>
      <c r="B31" s="16">
        <f>B29/2550</f>
        <v/>
      </c>
      <c r="C31" s="16">
        <f>C29/2550</f>
        <v/>
      </c>
      <c r="D31" s="16">
        <f>D29/2550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  <col width="12" customWidth="1" min="4" max="4"/>
    <col width="41" customWidth="1" min="5" max="5"/>
    <col width="16" customWidth="1" min="6" max="6"/>
    <col width="16" customWidth="1" min="7" max="7"/>
  </cols>
  <sheetData>
    <row r="1">
      <c r="A1" s="1" t="inlineStr">
        <is>
          <t>CONSOLIDATED BALANCE SHEETS</t>
        </is>
      </c>
    </row>
    <row r="2">
      <c r="A2" s="2" t="inlineStr">
        <is>
          <t>Amounts in USD Millions</t>
        </is>
      </c>
    </row>
    <row r="3"/>
    <row r="4">
      <c r="A4" s="3" t="inlineStr">
        <is>
          <t>Asset Line Item</t>
        </is>
      </c>
      <c r="B4" s="4" t="inlineStr">
        <is>
          <t>FY 2025</t>
        </is>
      </c>
      <c r="C4" s="4" t="inlineStr">
        <is>
          <t>FY 2026</t>
        </is>
      </c>
      <c r="D4" t="inlineStr"/>
      <c r="E4" s="3" t="inlineStr">
        <is>
          <t>Liabilities &amp; Equity Line Item</t>
        </is>
      </c>
      <c r="F4" s="4" t="inlineStr">
        <is>
          <t>FY 2025</t>
        </is>
      </c>
      <c r="G4" s="4" t="inlineStr">
        <is>
          <t>FY 2026</t>
        </is>
      </c>
    </row>
    <row r="5">
      <c r="A5" s="6" t="inlineStr">
        <is>
          <t>Current Assets</t>
        </is>
      </c>
      <c r="B5" s="6" t="inlineStr"/>
      <c r="C5" s="6" t="inlineStr"/>
      <c r="D5" t="inlineStr"/>
      <c r="E5" s="6" t="inlineStr">
        <is>
          <t>Current Liabilities</t>
        </is>
      </c>
      <c r="F5" s="6" t="inlineStr"/>
      <c r="G5" s="6" t="inlineStr"/>
    </row>
    <row r="6">
      <c r="A6" s="17" t="inlineStr">
        <is>
          <t xml:space="preserve">  Cash and Cash Equivalents</t>
        </is>
      </c>
      <c r="B6" s="10" t="n">
        <v>4200</v>
      </c>
      <c r="C6" s="10" t="n">
        <v>5100</v>
      </c>
      <c r="D6" t="inlineStr"/>
      <c r="E6" s="17" t="inlineStr">
        <is>
          <t xml:space="preserve">  Accounts Payable</t>
        </is>
      </c>
      <c r="F6" s="10" t="n">
        <v>3100</v>
      </c>
      <c r="G6" s="10" t="n">
        <v>3400</v>
      </c>
    </row>
    <row r="7">
      <c r="A7" s="17" t="inlineStr">
        <is>
          <t xml:space="preserve">  Short-Term Marketable Securities</t>
        </is>
      </c>
      <c r="B7" s="10" t="n">
        <v>2800</v>
      </c>
      <c r="C7" s="10" t="n">
        <v>2400</v>
      </c>
      <c r="D7" t="inlineStr"/>
      <c r="E7" s="17" t="inlineStr">
        <is>
          <t xml:space="preserve">  Short-Term Debt &amp; Commercial Paper</t>
        </is>
      </c>
      <c r="F7" s="10" t="n">
        <v>1500</v>
      </c>
      <c r="G7" s="10" t="n">
        <v>1200</v>
      </c>
    </row>
    <row r="8">
      <c r="A8" s="17" t="inlineStr">
        <is>
          <t xml:space="preserve">  Accounts Receivable, Net</t>
        </is>
      </c>
      <c r="B8" s="10" t="n">
        <v>5100</v>
      </c>
      <c r="C8" s="10" t="n">
        <v>5600</v>
      </c>
      <c r="D8" t="inlineStr"/>
      <c r="E8" s="17" t="inlineStr">
        <is>
          <t xml:space="preserve">  Accrued Compensation &amp; Benefits</t>
        </is>
      </c>
      <c r="F8" s="10" t="n">
        <v>1850</v>
      </c>
      <c r="G8" s="10" t="n">
        <v>2100</v>
      </c>
    </row>
    <row r="9">
      <c r="A9" s="17" t="inlineStr">
        <is>
          <t xml:space="preserve">  Inventories</t>
        </is>
      </c>
      <c r="B9" s="10" t="n">
        <v>3400</v>
      </c>
      <c r="C9" s="10" t="n">
        <v>3800</v>
      </c>
      <c r="D9" t="inlineStr"/>
      <c r="E9" s="17" t="inlineStr">
        <is>
          <t xml:space="preserve">  Deferred Revenue (Current)</t>
        </is>
      </c>
      <c r="F9" s="10" t="n">
        <v>2200</v>
      </c>
      <c r="G9" s="10" t="n">
        <v>2500</v>
      </c>
    </row>
    <row r="10">
      <c r="A10" s="17" t="inlineStr">
        <is>
          <t xml:space="preserve">  Prepaid Expenses &amp; Other Current</t>
        </is>
      </c>
      <c r="B10" s="10" t="n">
        <v>950</v>
      </c>
      <c r="C10" s="10" t="n">
        <v>1100</v>
      </c>
      <c r="D10" t="inlineStr"/>
      <c r="E10" s="17" t="inlineStr">
        <is>
          <t xml:space="preserve">  Other Current Liabilities</t>
        </is>
      </c>
      <c r="F10" s="10" t="n">
        <v>850</v>
      </c>
      <c r="G10" s="10" t="n">
        <v>950</v>
      </c>
    </row>
    <row r="11">
      <c r="A11" s="18" t="inlineStr">
        <is>
          <t>Total Current Assets</t>
        </is>
      </c>
      <c r="B11" s="12">
        <f>SUM(B6:B10)</f>
        <v/>
      </c>
      <c r="C11" s="12">
        <f>SUM(C6:C10)</f>
        <v/>
      </c>
      <c r="D11" t="inlineStr"/>
      <c r="E11" s="18" t="inlineStr">
        <is>
          <t>Total Current Liabilities</t>
        </is>
      </c>
      <c r="F11" s="12">
        <f>SUM(F6:F10)</f>
        <v/>
      </c>
      <c r="G11" s="12">
        <f>SUM(G6:G10)</f>
        <v/>
      </c>
    </row>
    <row r="12">
      <c r="A12" s="6" t="inlineStr">
        <is>
          <t>Non-Current Assets</t>
        </is>
      </c>
      <c r="B12" s="6" t="inlineStr"/>
      <c r="C12" s="6" t="inlineStr"/>
      <c r="D12" t="inlineStr"/>
      <c r="E12" s="6" t="inlineStr">
        <is>
          <t>Non-Current Liabilities</t>
        </is>
      </c>
      <c r="F12" s="6" t="inlineStr"/>
      <c r="G12" s="6" t="inlineStr"/>
    </row>
    <row r="13">
      <c r="A13" s="17" t="inlineStr">
        <is>
          <t xml:space="preserve">  Property, Plant &amp; Equipment, Gross</t>
        </is>
      </c>
      <c r="B13" s="10" t="n">
        <v>18500</v>
      </c>
      <c r="C13" s="10" t="n">
        <v>20200</v>
      </c>
      <c r="D13" t="inlineStr"/>
      <c r="E13" s="17" t="inlineStr">
        <is>
          <t xml:space="preserve">  Long-Term Debt</t>
        </is>
      </c>
      <c r="F13" s="10" t="n">
        <v>14500</v>
      </c>
      <c r="G13" s="10" t="n">
        <v>13800</v>
      </c>
    </row>
    <row r="14">
      <c r="A14" s="17" t="inlineStr">
        <is>
          <t xml:space="preserve">  Less: Accumulated Depreciation</t>
        </is>
      </c>
      <c r="B14" s="10" t="n">
        <v>-6200</v>
      </c>
      <c r="C14" s="10" t="n">
        <v>-7100</v>
      </c>
      <c r="D14" t="inlineStr"/>
      <c r="E14" s="17" t="inlineStr">
        <is>
          <t xml:space="preserve">  Deferred Tax Liabilities</t>
        </is>
      </c>
      <c r="F14" s="10" t="n">
        <v>1100</v>
      </c>
      <c r="G14" s="10" t="n">
        <v>1250</v>
      </c>
    </row>
    <row r="15">
      <c r="A15" s="18" t="inlineStr">
        <is>
          <t xml:space="preserve">  Property, Plant &amp; Equipment, Net</t>
        </is>
      </c>
      <c r="B15" s="12">
        <f>SUM(B13:B14)</f>
        <v/>
      </c>
      <c r="C15" s="12">
        <f>SUM(C13:C14)</f>
        <v/>
      </c>
      <c r="D15" t="inlineStr"/>
      <c r="E15" s="17" t="inlineStr">
        <is>
          <t xml:space="preserve">  Operating Lease Liabilities</t>
        </is>
      </c>
      <c r="F15" s="10" t="n">
        <v>950</v>
      </c>
      <c r="G15" s="10" t="n">
        <v>1150</v>
      </c>
    </row>
    <row r="16">
      <c r="A16" s="17" t="inlineStr">
        <is>
          <t xml:space="preserve">  Goodwill</t>
        </is>
      </c>
      <c r="B16" s="10" t="n">
        <v>8400</v>
      </c>
      <c r="C16" s="10" t="n">
        <v>8400</v>
      </c>
      <c r="D16" t="inlineStr"/>
      <c r="E16" s="17" t="inlineStr">
        <is>
          <t xml:space="preserve">  Other Long-Term Liabilities</t>
        </is>
      </c>
      <c r="F16" s="10" t="n">
        <v>1400</v>
      </c>
      <c r="G16" s="10" t="n">
        <v>1500</v>
      </c>
    </row>
    <row r="17">
      <c r="A17" s="17" t="inlineStr">
        <is>
          <t xml:space="preserve">  Intangibles, Net</t>
        </is>
      </c>
      <c r="B17" s="10" t="n">
        <v>2150</v>
      </c>
      <c r="C17" s="10" t="n">
        <v>1900</v>
      </c>
      <c r="D17" t="inlineStr"/>
      <c r="E17" s="18" t="inlineStr">
        <is>
          <t>Total Non-Current Liabilities</t>
        </is>
      </c>
      <c r="F17" s="12">
        <f>SUM(F13:F16)</f>
        <v/>
      </c>
      <c r="G17" s="12">
        <f>SUM(G13:G16)</f>
        <v/>
      </c>
    </row>
    <row r="18">
      <c r="A18" s="17" t="inlineStr">
        <is>
          <t xml:space="preserve">  Other Non-Current Assets</t>
        </is>
      </c>
      <c r="B18" s="10" t="n">
        <v>1350</v>
      </c>
      <c r="C18" s="10" t="n">
        <v>1500</v>
      </c>
      <c r="D18" t="inlineStr"/>
      <c r="E18" s="18" t="inlineStr">
        <is>
          <t>Total Liabilities</t>
        </is>
      </c>
      <c r="F18" s="12">
        <f>F11+F17</f>
        <v/>
      </c>
      <c r="G18" s="12">
        <f>G11+G17</f>
        <v/>
      </c>
    </row>
    <row r="19">
      <c r="A19" s="6" t="inlineStr"/>
      <c r="B19" s="6" t="inlineStr"/>
      <c r="C19" s="6" t="inlineStr"/>
      <c r="D19" t="inlineStr"/>
      <c r="E19" s="6" t="inlineStr">
        <is>
          <t>Shareholders' Equity</t>
        </is>
      </c>
      <c r="F19" s="6" t="inlineStr"/>
      <c r="G19" s="6" t="inlineStr"/>
    </row>
    <row r="20">
      <c r="A20" s="6" t="inlineStr"/>
      <c r="B20" s="6" t="inlineStr"/>
      <c r="C20" s="6" t="inlineStr"/>
      <c r="D20" t="inlineStr"/>
      <c r="E20" s="17" t="inlineStr">
        <is>
          <t xml:space="preserve">  Common Stock ($0.01 par value)</t>
        </is>
      </c>
      <c r="F20" s="10" t="n">
        <v>25</v>
      </c>
      <c r="G20" s="10" t="n">
        <v>25</v>
      </c>
    </row>
    <row r="21">
      <c r="A21" s="6" t="inlineStr"/>
      <c r="B21" s="6" t="inlineStr"/>
      <c r="C21" s="6" t="inlineStr"/>
      <c r="D21" t="inlineStr"/>
      <c r="E21" s="17" t="inlineStr">
        <is>
          <t xml:space="preserve">  Additional Paid-In Capital</t>
        </is>
      </c>
      <c r="F21" s="10" t="n">
        <v>9400</v>
      </c>
      <c r="G21" s="10" t="n">
        <v>9850</v>
      </c>
    </row>
    <row r="22">
      <c r="A22" s="6" t="inlineStr"/>
      <c r="B22" s="6" t="inlineStr"/>
      <c r="C22" s="6" t="inlineStr"/>
      <c r="D22" t="inlineStr"/>
      <c r="E22" s="17" t="inlineStr">
        <is>
          <t xml:space="preserve">  Retained Earnings</t>
        </is>
      </c>
      <c r="F22" s="10" t="n">
        <v>13225</v>
      </c>
      <c r="G22" s="10" t="n">
        <v>15650</v>
      </c>
    </row>
    <row r="23">
      <c r="A23" s="6" t="inlineStr"/>
      <c r="B23" s="6" t="inlineStr"/>
      <c r="C23" s="6" t="inlineStr"/>
      <c r="D23" t="inlineStr"/>
      <c r="E23" s="17" t="inlineStr">
        <is>
          <t xml:space="preserve">  Accumulated Other Comprehensive Loss</t>
        </is>
      </c>
      <c r="F23" s="10" t="n">
        <v>-450</v>
      </c>
      <c r="G23" s="10" t="n">
        <v>-525</v>
      </c>
    </row>
    <row r="24">
      <c r="A24" s="6" t="inlineStr"/>
      <c r="B24" s="6" t="inlineStr"/>
      <c r="C24" s="6" t="inlineStr"/>
      <c r="D24" t="inlineStr"/>
      <c r="E24" s="18" t="inlineStr">
        <is>
          <t>Total Shareholders' Equity</t>
        </is>
      </c>
      <c r="F24" s="12">
        <f>SUM(F20:F23)</f>
        <v/>
      </c>
      <c r="G24" s="12">
        <f>SUM(G20:G23)</f>
        <v/>
      </c>
    </row>
    <row r="25">
      <c r="A25" s="19" t="inlineStr">
        <is>
          <t>TOTAL ASSETS</t>
        </is>
      </c>
      <c r="B25" s="14">
        <f>B11+B15+B16+B17+B18</f>
        <v/>
      </c>
      <c r="C25" s="14">
        <f>C11+C15+C16+C17+C18</f>
        <v/>
      </c>
      <c r="D25" t="inlineStr"/>
      <c r="E25" s="19" t="inlineStr">
        <is>
          <t>TOTAL LIABILITIES &amp; EQUITY</t>
        </is>
      </c>
      <c r="F25" s="14">
        <f>F18+F24</f>
        <v/>
      </c>
      <c r="G25" s="14">
        <f>G24+G24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CONSOLIDATED STATEMENTS OF CASH FLOWS (Indirect Method)</t>
        </is>
      </c>
    </row>
    <row r="2">
      <c r="A2" s="2" t="inlineStr">
        <is>
          <t>Rolling 3-Month Projection in USD Millions</t>
        </is>
      </c>
    </row>
    <row r="3"/>
    <row r="4">
      <c r="A4" s="3" t="inlineStr">
        <is>
          <t>Category / Line Item</t>
        </is>
      </c>
      <c r="B4" s="4" t="inlineStr">
        <is>
          <t>Month 1</t>
        </is>
      </c>
      <c r="C4" s="4" t="inlineStr">
        <is>
          <t>Month 2</t>
        </is>
      </c>
      <c r="D4" s="4" t="inlineStr">
        <is>
          <t>Month 3</t>
        </is>
      </c>
    </row>
    <row r="5">
      <c r="A5" s="6" t="inlineStr">
        <is>
          <t>Cash Flows from Operating Activities</t>
        </is>
      </c>
      <c r="B5" s="6" t="inlineStr"/>
      <c r="C5" s="6" t="inlineStr"/>
      <c r="D5" s="6" t="inlineStr"/>
    </row>
    <row r="6">
      <c r="A6" s="17" t="inlineStr">
        <is>
          <t xml:space="preserve">  Net Income</t>
        </is>
      </c>
      <c r="B6" s="10" t="n">
        <v>680</v>
      </c>
      <c r="C6" s="10" t="n">
        <v>710</v>
      </c>
      <c r="D6" s="10" t="n">
        <v>745</v>
      </c>
    </row>
    <row r="7">
      <c r="A7" s="17" t="inlineStr">
        <is>
          <t xml:space="preserve">  Depreciation &amp; Amortization</t>
        </is>
      </c>
      <c r="B7" s="10" t="n">
        <v>140</v>
      </c>
      <c r="C7" s="10" t="n">
        <v>142</v>
      </c>
      <c r="D7" s="10" t="n">
        <v>145</v>
      </c>
    </row>
    <row r="8">
      <c r="A8" s="17" t="inlineStr">
        <is>
          <t xml:space="preserve">  Share-Based Compensation Expense</t>
        </is>
      </c>
      <c r="B8" s="10" t="n">
        <v>45</v>
      </c>
      <c r="C8" s="10" t="n">
        <v>48</v>
      </c>
      <c r="D8" s="10" t="n">
        <v>52</v>
      </c>
    </row>
    <row r="9">
      <c r="A9" s="17" t="inlineStr">
        <is>
          <t xml:space="preserve">  Deferred Income Taxes</t>
        </is>
      </c>
      <c r="B9" s="10" t="n">
        <v>22</v>
      </c>
      <c r="C9" s="10" t="n">
        <v>-15</v>
      </c>
      <c r="D9" s="10" t="n">
        <v>10</v>
      </c>
    </row>
    <row r="10">
      <c r="A10" s="17" t="inlineStr">
        <is>
          <t xml:space="preserve">  Change in Accounts Receivable</t>
        </is>
      </c>
      <c r="B10" s="10" t="n">
        <v>-180</v>
      </c>
      <c r="C10" s="10" t="n">
        <v>-210</v>
      </c>
      <c r="D10" s="10" t="n">
        <v>65</v>
      </c>
    </row>
    <row r="11">
      <c r="A11" s="17" t="inlineStr">
        <is>
          <t xml:space="preserve">  Change in Inventories</t>
        </is>
      </c>
      <c r="B11" s="10" t="n">
        <v>-95</v>
      </c>
      <c r="C11" s="10" t="n">
        <v>115</v>
      </c>
      <c r="D11" s="10" t="n">
        <v>-40</v>
      </c>
    </row>
    <row r="12">
      <c r="A12" s="17" t="inlineStr">
        <is>
          <t xml:space="preserve">  Change in Accounts Payable</t>
        </is>
      </c>
      <c r="B12" s="10" t="n">
        <v>110</v>
      </c>
      <c r="C12" s="10" t="n">
        <v>-45</v>
      </c>
      <c r="D12" s="10" t="n">
        <v>85</v>
      </c>
    </row>
    <row r="13">
      <c r="A13" s="18" t="inlineStr">
        <is>
          <t>Net Cash Provided by Operating Activities</t>
        </is>
      </c>
      <c r="B13" s="12">
        <f>SUM(B6:B11)</f>
        <v/>
      </c>
      <c r="C13" s="12">
        <f>SUM(C6:C11)</f>
        <v/>
      </c>
      <c r="D13" s="12">
        <f>SUM(D6:D11)</f>
        <v/>
      </c>
    </row>
    <row r="14">
      <c r="A14" s="6" t="inlineStr">
        <is>
          <t>Cash Flows from Investing Activities</t>
        </is>
      </c>
      <c r="B14" s="6" t="inlineStr"/>
      <c r="C14" s="6" t="inlineStr"/>
      <c r="D14" s="6" t="inlineStr"/>
    </row>
    <row r="15">
      <c r="A15" s="17" t="inlineStr">
        <is>
          <t xml:space="preserve">  Capital Expenditures (CapEx)</t>
        </is>
      </c>
      <c r="B15" s="10" t="n">
        <v>-450</v>
      </c>
      <c r="C15" s="10" t="n">
        <v>-480</v>
      </c>
      <c r="D15" s="10" t="n">
        <v>-510</v>
      </c>
    </row>
    <row r="16">
      <c r="A16" s="17" t="inlineStr">
        <is>
          <t xml:space="preserve">  Acquisitions of Businesses, Net of Cash</t>
        </is>
      </c>
      <c r="B16" s="10" t="n">
        <v>0</v>
      </c>
      <c r="C16" s="10" t="n">
        <v>-1250</v>
      </c>
      <c r="D16" s="10" t="n">
        <v>0</v>
      </c>
    </row>
    <row r="17">
      <c r="A17" s="17" t="inlineStr">
        <is>
          <t xml:space="preserve">  Purchases of Marketable Securities</t>
        </is>
      </c>
      <c r="B17" s="10" t="n">
        <v>-850</v>
      </c>
      <c r="C17" s="10" t="n">
        <v>-600</v>
      </c>
      <c r="D17" s="10" t="n">
        <v>-750</v>
      </c>
    </row>
    <row r="18">
      <c r="A18" s="17" t="inlineStr">
        <is>
          <t xml:space="preserve">  Maturities/Sales of Marketable Securities</t>
        </is>
      </c>
      <c r="B18" s="10" t="n">
        <v>920</v>
      </c>
      <c r="C18" s="10" t="n">
        <v>780</v>
      </c>
      <c r="D18" s="10" t="n">
        <v>810</v>
      </c>
    </row>
    <row r="19">
      <c r="A19" s="18" t="inlineStr">
        <is>
          <t>Net Cash Used in Investing Activities</t>
        </is>
      </c>
      <c r="B19" s="12">
        <f>SUM(B14:B17)</f>
        <v/>
      </c>
      <c r="C19" s="12">
        <f>SUM(C14:C17)</f>
        <v/>
      </c>
      <c r="D19" s="12">
        <f>SUM(D14:D17)</f>
        <v/>
      </c>
    </row>
    <row r="20">
      <c r="A20" s="6" t="inlineStr">
        <is>
          <t>Cash Flows from Financing Activities</t>
        </is>
      </c>
      <c r="B20" s="6" t="inlineStr"/>
      <c r="C20" s="6" t="inlineStr"/>
      <c r="D20" s="6" t="inlineStr"/>
    </row>
    <row r="21">
      <c r="A21" s="17" t="inlineStr">
        <is>
          <t xml:space="preserve">  Proceeds from Issuance of Long-Term Debt</t>
        </is>
      </c>
      <c r="B21" s="10" t="n">
        <v>0</v>
      </c>
      <c r="C21" s="10" t="n">
        <v>1500</v>
      </c>
      <c r="D21" s="10" t="n">
        <v>0</v>
      </c>
    </row>
    <row r="22">
      <c r="A22" s="17" t="inlineStr">
        <is>
          <t xml:space="preserve">  Repayments of Debt/Commercial Paper</t>
        </is>
      </c>
      <c r="B22" s="10" t="n">
        <v>-200</v>
      </c>
      <c r="C22" s="10" t="n">
        <v>-100</v>
      </c>
      <c r="D22" s="10" t="n">
        <v>-150</v>
      </c>
    </row>
    <row r="23">
      <c r="A23" s="17" t="inlineStr">
        <is>
          <t xml:space="preserve">  Repurchases of Common Stock</t>
        </is>
      </c>
      <c r="B23" s="10" t="n">
        <v>-300</v>
      </c>
      <c r="C23" s="10" t="n">
        <v>-300</v>
      </c>
      <c r="D23" s="10" t="n">
        <v>-300</v>
      </c>
    </row>
    <row r="24">
      <c r="A24" s="17" t="inlineStr">
        <is>
          <t xml:space="preserve">  Dividends Paid</t>
        </is>
      </c>
      <c r="B24" s="10" t="n">
        <v>-180</v>
      </c>
      <c r="C24" s="10" t="n">
        <v>0</v>
      </c>
      <c r="D24" s="10" t="n">
        <v>0</v>
      </c>
    </row>
    <row r="25">
      <c r="A25" s="18" t="inlineStr">
        <is>
          <t>Net Cash Used in Financing Activities</t>
        </is>
      </c>
      <c r="B25" s="12">
        <f>SUM(B20:B23)</f>
        <v/>
      </c>
      <c r="C25" s="12">
        <f>SUM(C20:C23)</f>
        <v/>
      </c>
      <c r="D25" s="12">
        <f>SUM(D20:D23)</f>
        <v/>
      </c>
    </row>
    <row r="26">
      <c r="A26" s="19" t="inlineStr">
        <is>
          <t>Net Increase / (Decrease) in Cash</t>
        </is>
      </c>
      <c r="B26" s="14">
        <f>B12+B18+B24</f>
        <v/>
      </c>
      <c r="C26" s="14">
        <f>C12+C18+C24</f>
        <v/>
      </c>
      <c r="D26" s="14">
        <f>D12+D18+D24</f>
        <v/>
      </c>
    </row>
    <row r="27">
      <c r="A27" s="17" t="inlineStr">
        <is>
          <t xml:space="preserve">  Cash &amp; Cash Equivalents, Beginning of Period</t>
        </is>
      </c>
      <c r="B27" s="10" t="n">
        <v>4200</v>
      </c>
      <c r="C27" s="10">
        <f>B27</f>
        <v/>
      </c>
      <c r="D27" s="10">
        <f>C27</f>
        <v/>
      </c>
    </row>
    <row r="28">
      <c r="A28" s="19" t="inlineStr">
        <is>
          <t>Cash &amp; Cash Equivalents, End of Period</t>
        </is>
      </c>
      <c r="B28" s="14">
        <f>B25+B26</f>
        <v/>
      </c>
      <c r="C28" s="14">
        <f>C25+C26</f>
        <v/>
      </c>
      <c r="D28" s="14">
        <f>D25+D26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19" customWidth="1" min="3" max="3"/>
    <col width="12" customWidth="1" min="4" max="4"/>
    <col width="14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7" customWidth="1" min="12" max="12"/>
    <col width="16" customWidth="1" min="13" max="13"/>
    <col width="16" customWidth="1" min="14" max="14"/>
  </cols>
  <sheetData>
    <row r="1">
      <c r="A1" s="1" t="inlineStr">
        <is>
          <t>FORTUNE 500 CORPORATE PAYROLL REGISTER</t>
        </is>
      </c>
    </row>
    <row r="2">
      <c r="A2" s="2" t="inlineStr">
        <is>
          <t>Pay Period: Semi-Monthly | Global HQ &amp; Corporate Ops</t>
        </is>
      </c>
    </row>
    <row r="3"/>
    <row r="4">
      <c r="A4" s="3" t="inlineStr">
        <is>
          <t>Emp ID</t>
        </is>
      </c>
      <c r="B4" s="3" t="inlineStr">
        <is>
          <t>Employee Name</t>
        </is>
      </c>
      <c r="C4" s="3" t="inlineStr">
        <is>
          <t>Cost Center</t>
        </is>
      </c>
      <c r="D4" s="3" t="inlineStr">
        <is>
          <t>State</t>
        </is>
      </c>
      <c r="E4" s="4" t="inlineStr">
        <is>
          <t>Gross Pay</t>
        </is>
      </c>
      <c r="F4" s="4" t="inlineStr">
        <is>
          <t>Pre-Tax 401k</t>
        </is>
      </c>
      <c r="G4" s="4" t="inlineStr">
        <is>
          <t>Pre-Tax HSA</t>
        </is>
      </c>
      <c r="H4" s="4" t="inlineStr">
        <is>
          <t>Fed Tax Wh</t>
        </is>
      </c>
      <c r="I4" s="4" t="inlineStr">
        <is>
          <t>State Tax Wh</t>
        </is>
      </c>
      <c r="J4" s="4" t="inlineStr">
        <is>
          <t>FICA OASDI</t>
        </is>
      </c>
      <c r="K4" s="4" t="inlineStr">
        <is>
          <t>FICA Med</t>
        </is>
      </c>
      <c r="L4" s="4" t="inlineStr">
        <is>
          <t>Net Pay</t>
        </is>
      </c>
      <c r="M4" s="4" t="inlineStr">
        <is>
          <t>ER FICA Match</t>
        </is>
      </c>
      <c r="N4" s="4" t="inlineStr">
        <is>
          <t>ER Health Sub</t>
        </is>
      </c>
    </row>
    <row r="5">
      <c r="A5" s="17" t="inlineStr">
        <is>
          <t>E90811</t>
        </is>
      </c>
      <c r="B5" s="17" t="inlineStr">
        <is>
          <t>Alexander, Victoria G.</t>
        </is>
      </c>
      <c r="C5" s="17" t="inlineStr">
        <is>
          <t>R&amp;D East</t>
        </is>
      </c>
      <c r="D5" s="17" t="inlineStr">
        <is>
          <t>NY</t>
        </is>
      </c>
      <c r="E5" s="16" t="n">
        <v>12500</v>
      </c>
      <c r="F5" s="16" t="n">
        <v>1250</v>
      </c>
      <c r="G5" s="16" t="n">
        <v>250</v>
      </c>
      <c r="H5" s="16" t="n">
        <v>2450</v>
      </c>
      <c r="I5" s="16" t="n">
        <v>680</v>
      </c>
      <c r="J5" s="16" t="n">
        <v>775</v>
      </c>
      <c r="K5" s="16" t="n">
        <v>181.25</v>
      </c>
      <c r="L5" s="16">
        <f>E5-SUM(F5:K5)</f>
        <v/>
      </c>
      <c r="M5" s="16">
        <f>J5</f>
        <v/>
      </c>
      <c r="N5" s="16" t="n">
        <v>850</v>
      </c>
    </row>
    <row r="6">
      <c r="A6" s="20" t="inlineStr">
        <is>
          <t>E90812</t>
        </is>
      </c>
      <c r="B6" s="20" t="inlineStr">
        <is>
          <t>Bhardwaj, Amit K.</t>
        </is>
      </c>
      <c r="C6" s="20" t="inlineStr">
        <is>
          <t>Sales Enterprise</t>
        </is>
      </c>
      <c r="D6" s="20" t="inlineStr">
        <is>
          <t>CA</t>
        </is>
      </c>
      <c r="E6" s="15" t="n">
        <v>15833.33</v>
      </c>
      <c r="F6" s="15" t="n">
        <v>1583.33</v>
      </c>
      <c r="G6" s="15" t="n">
        <v>0</v>
      </c>
      <c r="H6" s="15" t="n">
        <v>3480</v>
      </c>
      <c r="I6" s="15" t="n">
        <v>1220</v>
      </c>
      <c r="J6" s="15" t="n">
        <v>981.67</v>
      </c>
      <c r="K6" s="15" t="n">
        <v>229.58</v>
      </c>
      <c r="L6" s="15">
        <f>E6-SUM(F6:K6)</f>
        <v/>
      </c>
      <c r="M6" s="15">
        <f>J6</f>
        <v/>
      </c>
      <c r="N6" s="15" t="n">
        <v>850</v>
      </c>
    </row>
    <row r="7">
      <c r="A7" s="17" t="inlineStr">
        <is>
          <t>E90813</t>
        </is>
      </c>
      <c r="B7" s="17" t="inlineStr">
        <is>
          <t>Chen, Xiao Ling</t>
        </is>
      </c>
      <c r="C7" s="17" t="inlineStr">
        <is>
          <t>Executive HQ</t>
        </is>
      </c>
      <c r="D7" s="17" t="inlineStr">
        <is>
          <t>TX</t>
        </is>
      </c>
      <c r="E7" s="16" t="n">
        <v>25000</v>
      </c>
      <c r="F7" s="16" t="n">
        <v>2000</v>
      </c>
      <c r="G7" s="16" t="n">
        <v>400</v>
      </c>
      <c r="H7" s="16" t="n">
        <v>5875</v>
      </c>
      <c r="I7" s="16" t="n">
        <v>0</v>
      </c>
      <c r="J7" s="16" t="n">
        <v>1550</v>
      </c>
      <c r="K7" s="16" t="n">
        <v>362.5</v>
      </c>
      <c r="L7" s="16">
        <f>E7-SUM(F7:K7)</f>
        <v/>
      </c>
      <c r="M7" s="16">
        <f>J7</f>
        <v/>
      </c>
      <c r="N7" s="16" t="n">
        <v>1200</v>
      </c>
    </row>
    <row r="8">
      <c r="A8" s="20" t="inlineStr">
        <is>
          <t>E90814</t>
        </is>
      </c>
      <c r="B8" s="20" t="inlineStr">
        <is>
          <t>Dupont, Marc-René</t>
        </is>
      </c>
      <c r="C8" s="20" t="inlineStr">
        <is>
          <t>Logistics</t>
        </is>
      </c>
      <c r="D8" s="20" t="inlineStr">
        <is>
          <t>IL</t>
        </is>
      </c>
      <c r="E8" s="15" t="n">
        <v>6250</v>
      </c>
      <c r="F8" s="15" t="n">
        <v>312.5</v>
      </c>
      <c r="G8" s="15" t="n">
        <v>100</v>
      </c>
      <c r="H8" s="15" t="n">
        <v>780</v>
      </c>
      <c r="I8" s="15" t="n">
        <v>295</v>
      </c>
      <c r="J8" s="15" t="n">
        <v>387.5</v>
      </c>
      <c r="K8" s="15" t="n">
        <v>90.63</v>
      </c>
      <c r="L8" s="15">
        <f>E8-SUM(F8:K8)</f>
        <v/>
      </c>
      <c r="M8" s="15">
        <f>J8</f>
        <v/>
      </c>
      <c r="N8" s="15" t="n">
        <v>850</v>
      </c>
    </row>
    <row r="9">
      <c r="A9" s="17" t="inlineStr">
        <is>
          <t>E90815</t>
        </is>
      </c>
      <c r="B9" s="17" t="inlineStr">
        <is>
          <t>Gomez, Sofia A.</t>
        </is>
      </c>
      <c r="C9" s="17" t="inlineStr">
        <is>
          <t>Legal &amp; Compl</t>
        </is>
      </c>
      <c r="D9" s="17" t="inlineStr">
        <is>
          <t>NY</t>
        </is>
      </c>
      <c r="E9" s="16" t="n">
        <v>11666.67</v>
      </c>
      <c r="F9" s="16" t="n">
        <v>1166.67</v>
      </c>
      <c r="G9" s="16" t="n">
        <v>250</v>
      </c>
      <c r="H9" s="16" t="n">
        <v>2180</v>
      </c>
      <c r="I9" s="16" t="n">
        <v>625</v>
      </c>
      <c r="J9" s="16" t="n">
        <v>723.33</v>
      </c>
      <c r="K9" s="16" t="n">
        <v>169.17</v>
      </c>
      <c r="L9" s="16">
        <f>E9-SUM(F9:K9)</f>
        <v/>
      </c>
      <c r="M9" s="16">
        <f>J9</f>
        <v/>
      </c>
      <c r="N9" s="16" t="n">
        <v>850</v>
      </c>
    </row>
    <row r="10">
      <c r="A10" s="21" t="inlineStr">
        <is>
          <t>TOTAL</t>
        </is>
      </c>
      <c r="B10" s="21" t="inlineStr"/>
      <c r="C10" s="21" t="inlineStr"/>
      <c r="D10" s="21" t="inlineStr"/>
      <c r="E10" s="22">
        <f>SUM(E5:E9)</f>
        <v/>
      </c>
      <c r="F10" s="22">
        <f>SUM(F5:F9)</f>
        <v/>
      </c>
      <c r="G10" s="22">
        <f>SUM(G5:G9)</f>
        <v/>
      </c>
      <c r="H10" s="22">
        <f>SUM(H5:H9)</f>
        <v/>
      </c>
      <c r="I10" s="22">
        <f>SUM(I5:I9)</f>
        <v/>
      </c>
      <c r="J10" s="22">
        <f>SUM(J5:J9)</f>
        <v/>
      </c>
      <c r="K10" s="22">
        <f>SUM(K5:K9)</f>
        <v/>
      </c>
      <c r="L10" s="22">
        <f>SUM(L5:L9)</f>
        <v/>
      </c>
      <c r="M10" s="22">
        <f>SUM(M5:M9)</f>
        <v/>
      </c>
      <c r="N10" s="22">
        <f>SUM(N5:N9)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2026-07-05T03:42:32Z</dcterms:created>
  <dcterms:modified xmlns:dcterms="http://purl.org/dc/terms/" xmlns:xsi="http://www.w3.org/2001/XMLSchema-instance" xsi:type="dcterms:W3CDTF">2026-07-05T03:42:32Z</dcterms:modified>
</cp:coreProperties>
</file>