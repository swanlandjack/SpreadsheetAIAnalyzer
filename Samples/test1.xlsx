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come Statement" sheetId="2" r:id="rId6"/>
    <sheet state="visible" name="Balance Sheet" sheetId="3" r:id="rId7"/>
    <sheet state="visible" name="Cash Flow" sheetId="4" r:id="rId8"/>
  </sheets>
  <definedNames/>
  <calcPr/>
</workbook>
</file>

<file path=xl/sharedStrings.xml><?xml version="1.0" encoding="utf-8"?>
<sst xmlns="http://schemas.openxmlformats.org/spreadsheetml/2006/main" count="54" uniqueCount="52">
  <si>
    <t>Personal Wealth Dashboard</t>
  </si>
  <si>
    <t>Total Net Worth</t>
  </si>
  <si>
    <t>Total Investments</t>
  </si>
  <si>
    <t>Total P&amp;L</t>
  </si>
  <si>
    <t>Asset</t>
  </si>
  <si>
    <t>Purchase Date</t>
  </si>
  <si>
    <t>Invested Amount</t>
  </si>
  <si>
    <t>Current Value</t>
  </si>
  <si>
    <t>P&amp;L</t>
  </si>
  <si>
    <t>Date</t>
  </si>
  <si>
    <t>Description</t>
  </si>
  <si>
    <t>Category</t>
  </si>
  <si>
    <t>Amount</t>
  </si>
  <si>
    <t>Apple Inc. (AAPL)</t>
  </si>
  <si>
    <t>Whole Foods Market</t>
  </si>
  <si>
    <t>Groceries</t>
  </si>
  <si>
    <t>Vanguard S&amp;P 500 ETF (VOO)</t>
  </si>
  <si>
    <t>Uber Rides</t>
  </si>
  <si>
    <t>Transport</t>
  </si>
  <si>
    <t>Tesla Inc. (TSLA)</t>
  </si>
  <si>
    <t>Netflix Subscription</t>
  </si>
  <si>
    <t>Entertainment</t>
  </si>
  <si>
    <t>US Treasury Bond</t>
  </si>
  <si>
    <t>Salary Deposit</t>
  </si>
  <si>
    <t>Income</t>
  </si>
  <si>
    <t>Bitcoin (BTC)</t>
  </si>
  <si>
    <t>Con Edison</t>
  </si>
  <si>
    <t>Utilities</t>
  </si>
  <si>
    <t>Starbucks</t>
  </si>
  <si>
    <t>Dining</t>
  </si>
  <si>
    <t>Rent Payment</t>
  </si>
  <si>
    <t>Housing</t>
  </si>
  <si>
    <t>Amazon</t>
  </si>
  <si>
    <t>Shopping</t>
  </si>
  <si>
    <t>Line Item</t>
  </si>
  <si>
    <t>Revenue</t>
  </si>
  <si>
    <t>COGS</t>
  </si>
  <si>
    <t>Gross Profit</t>
  </si>
  <si>
    <t>Operating Expenses</t>
  </si>
  <si>
    <t>Taxes</t>
  </si>
  <si>
    <t>Net Income</t>
  </si>
  <si>
    <t>Cash &amp; Equivalents</t>
  </si>
  <si>
    <t>Property &amp; Equipment</t>
  </si>
  <si>
    <t>Total Assets</t>
  </si>
  <si>
    <t>Accounts Payable</t>
  </si>
  <si>
    <t>Long-Term Debt</t>
  </si>
  <si>
    <t>Total Liabilities</t>
  </si>
  <si>
    <t>Total Equity</t>
  </si>
  <si>
    <t>Operating Activities</t>
  </si>
  <si>
    <t>Investing Activities</t>
  </si>
  <si>
    <t>Financing Activities</t>
  </si>
  <si>
    <t>Net Change in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</si>
</sst>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"/>
    <numFmt numFmtId="165" formatCode="+$#,##0"/>
    <numFmt numFmtId="166" formatCode="yyyy-mm-dd"/>
    <numFmt numFmtId="167" formatCode="$#,##0.00"/>
    <numFmt numFmtId="168" formatCode="&quot;$&quot;#,##0.00;(&quot;$&quot;#,##0.00)"/>
  </numFmts>
  <fonts count="9">
    <font>
      <sz val="10.0"/>
      <color rgb="FF000000"/>
      <name val="Arial"/>
      <scheme val="minor"/>
    </font>
    <font>
      <b/>
      <sz val="18.0"/>
      <color rgb="FF555892"/>
      <name val="Arial"/>
      <scheme val="minor"/>
    </font>
    <font>
      <b/>
      <color rgb="FF777680"/>
      <name val="Arial"/>
      <scheme val="minor"/>
    </font>
    <font>
      <b/>
      <sz val="14.0"/>
      <color rgb="FF1B1B20"/>
      <name val="Arial"/>
      <scheme val="minor"/>
    </font>
    <font>
      <b/>
      <sz val="14.0"/>
      <color rgb="FF3EC08A"/>
      <name val="Arial"/>
      <scheme val="minor"/>
    </font>
    <font>
      <b/>
      <sz val="11.0"/>
      <color rgb="FFFFFFFF"/>
      <name val="Montserrat"/>
    </font>
    <font>
      <sz val="10.0"/>
      <color rgb="FF1B1B20"/>
      <name val="Roboto"/>
    </font>
    <font>
      <sz val="10.0"/>
      <color theme="1"/>
      <name val="Roboto"/>
    </font>
    <font>
      <b/>
      <sz val="10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555892"/>
        <bgColor rgb="FF555892"/>
      </patternFill>
    </fill>
    <fill>
      <patternFill patternType="solid">
        <fgColor rgb="FF003366"/>
        <bgColor rgb="FF003366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4" numFmtId="165" xfId="0" applyFont="1" applyNumberFormat="1"/>
    <xf borderId="0" fillId="2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6" numFmtId="164" xfId="0" applyFont="1" applyNumberFormat="1"/>
    <xf borderId="0" fillId="0" fontId="6" numFmtId="167" xfId="0" applyAlignment="1" applyFont="1" applyNumberFormat="1">
      <alignment readingOrder="0"/>
    </xf>
    <xf borderId="0" fillId="3" fontId="5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168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0" fillId="0" fontId="8" numFmtId="168" xfId="0" applyAlignment="1" applyFont="1" applyNumberForma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AF8FF"/>
          <bgColor rgb="FFFA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Dashboard-style">
      <tableStyleElement dxfId="1" type="firstRowStripe"/>
      <tableStyleElement dxfId="2" type="secondRowStripe"/>
    </tableStyle>
    <tableStyle count="2" pivot="0" name="Dashboard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Portfolio Allocation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Dashboard!$B$9:$B$14</c:f>
            </c:strRef>
          </c:cat>
          <c:val>
            <c:numRef>
              <c:f>Dashboard!$E$9:$E$14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4</xdr:row>
      <xdr:rowOff>0</xdr:rowOff>
    </xdr:from>
    <xdr:ext cx="4286250" cy="2857500"/>
    <xdr:graphicFrame>
      <xdr:nvGraphicFramePr>
        <xdr:cNvPr id="1" name="Chart 1" title="Portfolio Alloca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0:F14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H10:K1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Dashboar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7.25"/>
    <col customWidth="1" min="3" max="3" width="12.63"/>
    <col customWidth="1" min="4" max="4" width="14.63"/>
    <col customWidth="1" min="5" max="6" width="11.88"/>
    <col customWidth="1" min="8" max="8" width="9.13"/>
    <col customWidth="1" min="9" max="9" width="15.75"/>
    <col customWidth="1" min="10" max="10" width="11.13"/>
    <col customWidth="1" min="11" max="11" width="8.5"/>
  </cols>
  <sheetData>
    <row r="1" ht="6.75" customHeight="1"/>
    <row r="2">
      <c r="B2" s="1" t="s">
        <v>0</v>
      </c>
    </row>
    <row r="5">
      <c r="B5" s="2" t="s">
        <v>1</v>
      </c>
      <c r="D5" s="2" t="s">
        <v>2</v>
      </c>
      <c r="F5" s="2" t="s">
        <v>3</v>
      </c>
    </row>
    <row r="6">
      <c r="B6" s="3">
        <v>1250000.0</v>
      </c>
      <c r="D6" s="3">
        <v>850000.0</v>
      </c>
      <c r="F6" s="4">
        <v>125000.0</v>
      </c>
    </row>
    <row r="9"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H9" s="5" t="s">
        <v>9</v>
      </c>
      <c r="I9" s="5" t="s">
        <v>10</v>
      </c>
      <c r="J9" s="5" t="s">
        <v>11</v>
      </c>
      <c r="K9" s="5" t="s">
        <v>12</v>
      </c>
    </row>
    <row r="10">
      <c r="B10" s="6" t="s">
        <v>13</v>
      </c>
      <c r="C10" s="7">
        <v>44328.0</v>
      </c>
      <c r="D10" s="8">
        <v>15000.0</v>
      </c>
      <c r="E10" s="8">
        <v>22000.0</v>
      </c>
      <c r="F10" s="9">
        <f t="shared" ref="F10:F14" si="1">E10-D10</f>
        <v>7000</v>
      </c>
      <c r="H10" s="7">
        <v>45422.0</v>
      </c>
      <c r="I10" s="6" t="s">
        <v>14</v>
      </c>
      <c r="J10" s="6" t="s">
        <v>15</v>
      </c>
      <c r="K10" s="10">
        <v>-150.25</v>
      </c>
    </row>
    <row r="11">
      <c r="B11" s="6" t="s">
        <v>16</v>
      </c>
      <c r="C11" s="7">
        <v>43845.0</v>
      </c>
      <c r="D11" s="8">
        <v>50000.0</v>
      </c>
      <c r="E11" s="8">
        <v>75000.0</v>
      </c>
      <c r="F11" s="9">
        <f t="shared" si="1"/>
        <v>25000</v>
      </c>
      <c r="H11" s="7">
        <v>45421.0</v>
      </c>
      <c r="I11" s="6" t="s">
        <v>17</v>
      </c>
      <c r="J11" s="6" t="s">
        <v>18</v>
      </c>
      <c r="K11" s="10">
        <v>-25.5</v>
      </c>
    </row>
    <row r="12">
      <c r="B12" s="6" t="s">
        <v>19</v>
      </c>
      <c r="C12" s="7">
        <v>44870.0</v>
      </c>
      <c r="D12" s="8">
        <v>10000.0</v>
      </c>
      <c r="E12" s="8">
        <v>8500.0</v>
      </c>
      <c r="F12" s="9">
        <f t="shared" si="1"/>
        <v>-1500</v>
      </c>
      <c r="H12" s="7">
        <v>45420.0</v>
      </c>
      <c r="I12" s="6" t="s">
        <v>20</v>
      </c>
      <c r="J12" s="6" t="s">
        <v>21</v>
      </c>
      <c r="K12" s="10">
        <v>-15.99</v>
      </c>
    </row>
    <row r="13">
      <c r="B13" s="6" t="s">
        <v>22</v>
      </c>
      <c r="C13" s="7">
        <v>44977.0</v>
      </c>
      <c r="D13" s="8">
        <v>25000.0</v>
      </c>
      <c r="E13" s="8">
        <v>26000.0</v>
      </c>
      <c r="F13" s="9">
        <f t="shared" si="1"/>
        <v>1000</v>
      </c>
      <c r="H13" s="7">
        <v>45417.0</v>
      </c>
      <c r="I13" s="6" t="s">
        <v>23</v>
      </c>
      <c r="J13" s="6" t="s">
        <v>24</v>
      </c>
      <c r="K13" s="10">
        <v>4500.0</v>
      </c>
    </row>
    <row r="14">
      <c r="B14" s="6" t="s">
        <v>25</v>
      </c>
      <c r="C14" s="7">
        <v>44440.0</v>
      </c>
      <c r="D14" s="8">
        <v>5000.0</v>
      </c>
      <c r="E14" s="8">
        <v>12000.0</v>
      </c>
      <c r="F14" s="9">
        <f t="shared" si="1"/>
        <v>7000</v>
      </c>
      <c r="H14" s="7">
        <v>45416.0</v>
      </c>
      <c r="I14" s="6" t="s">
        <v>26</v>
      </c>
      <c r="J14" s="6" t="s">
        <v>27</v>
      </c>
      <c r="K14" s="10">
        <v>-85.0</v>
      </c>
    </row>
    <row r="15">
      <c r="H15" s="7">
        <v>45414.0</v>
      </c>
      <c r="I15" s="6" t="s">
        <v>28</v>
      </c>
      <c r="J15" s="6" t="s">
        <v>29</v>
      </c>
      <c r="K15" s="10">
        <v>-5.75</v>
      </c>
    </row>
    <row r="16">
      <c r="H16" s="7">
        <v>45413.0</v>
      </c>
      <c r="I16" s="6" t="s">
        <v>30</v>
      </c>
      <c r="J16" s="6" t="s">
        <v>31</v>
      </c>
      <c r="K16" s="10">
        <v>-2500.0</v>
      </c>
    </row>
    <row r="17">
      <c r="H17" s="7">
        <v>45410.0</v>
      </c>
      <c r="I17" s="6" t="s">
        <v>32</v>
      </c>
      <c r="J17" s="6" t="s">
        <v>33</v>
      </c>
      <c r="K17" s="10">
        <v>-45.2</v>
      </c>
    </row>
  </sheetData>
  <mergeCells count="6">
    <mergeCell ref="B5:C5"/>
    <mergeCell ref="D5:E5"/>
    <mergeCell ref="F5:G5"/>
    <mergeCell ref="B6:C6"/>
    <mergeCell ref="D6:E6"/>
    <mergeCell ref="F6:G6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10.13"/>
    <col customWidth="1" min="4" max="4" width="10.5"/>
  </cols>
  <sheetData>
    <row r="1">
      <c r="A1" s="11" t="s">
        <v>34</v>
      </c>
      <c r="B1" s="11">
        <v>2021.0</v>
      </c>
      <c r="C1" s="11">
        <v>2022.0</v>
      </c>
      <c r="D1" s="11">
        <v>2023.0</v>
      </c>
    </row>
    <row r="2">
      <c r="A2" s="12" t="s">
        <v>35</v>
      </c>
      <c r="B2" s="13">
        <v>100000.0</v>
      </c>
      <c r="C2" s="13">
        <v>120000.0</v>
      </c>
      <c r="D2" s="13">
        <v>150000.0</v>
      </c>
    </row>
    <row r="3">
      <c r="A3" s="12" t="s">
        <v>36</v>
      </c>
      <c r="B3" s="13">
        <v>-40000.0</v>
      </c>
      <c r="C3" s="13">
        <v>-45000.0</v>
      </c>
      <c r="D3" s="13">
        <v>-50000.0</v>
      </c>
    </row>
    <row r="4">
      <c r="A4" s="14" t="s">
        <v>37</v>
      </c>
      <c r="B4" s="15">
        <f t="shared" ref="B4:D4" si="1">SUM(B2:B3)</f>
        <v>60000</v>
      </c>
      <c r="C4" s="15">
        <f t="shared" si="1"/>
        <v>75000</v>
      </c>
      <c r="D4" s="15">
        <f t="shared" si="1"/>
        <v>100000</v>
      </c>
    </row>
    <row r="5">
      <c r="A5" s="12" t="s">
        <v>38</v>
      </c>
      <c r="B5" s="13">
        <v>-30000.0</v>
      </c>
      <c r="C5" s="13">
        <v>-35000.0</v>
      </c>
      <c r="D5" s="13">
        <v>-40000.0</v>
      </c>
    </row>
    <row r="6">
      <c r="A6" s="12" t="s">
        <v>39</v>
      </c>
      <c r="B6" s="13">
        <v>-5000.0</v>
      </c>
      <c r="C6" s="13">
        <v>-6000.0</v>
      </c>
      <c r="D6" s="13">
        <v>-8000.0</v>
      </c>
    </row>
    <row r="7">
      <c r="A7" s="14" t="s">
        <v>40</v>
      </c>
      <c r="B7" s="15">
        <f t="shared" ref="B7:D7" si="2">SUM(B4:B6)</f>
        <v>25000</v>
      </c>
      <c r="C7" s="15">
        <f t="shared" si="2"/>
        <v>34000</v>
      </c>
      <c r="D7" s="15">
        <f t="shared" si="2"/>
        <v>52000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4" width="10.5"/>
  </cols>
  <sheetData>
    <row r="1">
      <c r="A1" s="11" t="s">
        <v>34</v>
      </c>
      <c r="B1" s="11">
        <v>2021.0</v>
      </c>
      <c r="C1" s="11">
        <v>2022.0</v>
      </c>
      <c r="D1" s="11">
        <v>2023.0</v>
      </c>
    </row>
    <row r="2">
      <c r="A2" s="12" t="s">
        <v>41</v>
      </c>
      <c r="B2" s="13">
        <v>50000.0</v>
      </c>
      <c r="C2" s="13">
        <v>60000.0</v>
      </c>
      <c r="D2" s="13">
        <v>80000.0</v>
      </c>
    </row>
    <row r="3">
      <c r="A3" s="12" t="s">
        <v>42</v>
      </c>
      <c r="B3" s="13">
        <v>100000.0</v>
      </c>
      <c r="C3" s="13">
        <v>120000.0</v>
      </c>
      <c r="D3" s="13">
        <v>140000.0</v>
      </c>
    </row>
    <row r="4">
      <c r="A4" s="14" t="s">
        <v>43</v>
      </c>
      <c r="B4" s="15">
        <f t="shared" ref="B4:D4" si="1">SUM(B2:B3)</f>
        <v>150000</v>
      </c>
      <c r="C4" s="15">
        <f t="shared" si="1"/>
        <v>180000</v>
      </c>
      <c r="D4" s="15">
        <f t="shared" si="1"/>
        <v>220000</v>
      </c>
    </row>
    <row r="5">
      <c r="A5" s="12" t="s">
        <v>44</v>
      </c>
      <c r="B5" s="13">
        <v>20000.0</v>
      </c>
      <c r="C5" s="13">
        <v>25000.0</v>
      </c>
      <c r="D5" s="13">
        <v>30000.0</v>
      </c>
    </row>
    <row r="6">
      <c r="A6" s="12" t="s">
        <v>45</v>
      </c>
      <c r="B6" s="13">
        <v>30000.0</v>
      </c>
      <c r="C6" s="13">
        <v>35000.0</v>
      </c>
      <c r="D6" s="13">
        <v>40000.0</v>
      </c>
    </row>
    <row r="7">
      <c r="A7" s="14" t="s">
        <v>46</v>
      </c>
      <c r="B7" s="15">
        <f t="shared" ref="B7:D7" si="2">SUM(B5:B6)</f>
        <v>50000</v>
      </c>
      <c r="C7" s="15">
        <f t="shared" si="2"/>
        <v>60000</v>
      </c>
      <c r="D7" s="15">
        <f t="shared" si="2"/>
        <v>70000</v>
      </c>
    </row>
    <row r="8">
      <c r="A8" s="14" t="s">
        <v>47</v>
      </c>
      <c r="B8" s="15">
        <f t="shared" ref="B8:D8" si="3">B4-B7</f>
        <v>100000</v>
      </c>
      <c r="C8" s="15">
        <f t="shared" si="3"/>
        <v>120000</v>
      </c>
      <c r="D8" s="15">
        <f t="shared" si="3"/>
        <v>150000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4" width="10.13"/>
  </cols>
  <sheetData>
    <row r="1">
      <c r="A1" s="11" t="s">
        <v>34</v>
      </c>
      <c r="B1" s="11">
        <v>2021.0</v>
      </c>
      <c r="C1" s="11">
        <v>2022.0</v>
      </c>
      <c r="D1" s="11">
        <v>2023.0</v>
      </c>
    </row>
    <row r="2">
      <c r="A2" s="12" t="s">
        <v>48</v>
      </c>
      <c r="B2" s="13">
        <v>30000.0</v>
      </c>
      <c r="C2" s="13">
        <v>35000.0</v>
      </c>
      <c r="D2" s="13">
        <v>40000.0</v>
      </c>
    </row>
    <row r="3">
      <c r="A3" s="12" t="s">
        <v>49</v>
      </c>
      <c r="B3" s="13">
        <v>-10000.0</v>
      </c>
      <c r="C3" s="13">
        <v>-15000.0</v>
      </c>
      <c r="D3" s="13">
        <v>-20000.0</v>
      </c>
    </row>
    <row r="4">
      <c r="A4" s="12" t="s">
        <v>50</v>
      </c>
      <c r="B4" s="13">
        <v>-5000.0</v>
      </c>
      <c r="C4" s="13">
        <v>-5000.0</v>
      </c>
      <c r="D4" s="13">
        <v>-5000.0</v>
      </c>
    </row>
    <row r="5">
      <c r="A5" s="14" t="s">
        <v>51</v>
      </c>
      <c r="B5" s="15">
        <f t="shared" ref="B5:D5" si="1">SUM(B2:B4)</f>
        <v>15000</v>
      </c>
      <c r="C5" s="15">
        <f t="shared" si="1"/>
        <v>15000</v>
      </c>
      <c r="D5" s="15">
        <f t="shared" si="1"/>
        <v>15000</v>
      </c>
    </row>
  </sheetData>
  <drawing r:id="rId1"/>
</worksheet>
</file>